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9667fe114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Summary" sheetId="1" r:id="Red7e1617029e4885"/>
    <x:sheet xmlns:r="http://schemas.openxmlformats.org/officeDocument/2006/relationships" name="Placement Tracker" sheetId="2" r:id="R760101cca58a4f5c"/>
    <x:sheet xmlns:r="http://schemas.openxmlformats.org/officeDocument/2006/relationships" name="Review" sheetId="3" r:id="R2b0871c7bb7f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mm/dd/yy"/>
    <x:numFmt numFmtId="202" formatCode="#,##0"/>
    <x:numFmt numFmtId="203" formatCode="0.0%"/>
  </x:numFmts>
  <x:fonts count="17">
    <x:font>
      <x:sz val="11"/>
      <x:name val="Carlito"/>
    </x:font>
    <x:font>
      <x:sz val="11"/>
      <x:color rgb="FF25364A"/>
      <x:name val="Arial"/>
    </x:font>
    <x:font>
      <x:b/>
      <x:sz val="16"/>
      <x:color rgb="FF002E5D"/>
      <x:name val="Arial"/>
    </x:font>
    <x:font>
      <x:i/>
      <x:sz val="11"/>
      <x:color rgb="FF526176"/>
      <x:name val="Arial"/>
    </x:font>
    <x:font>
      <x:sz val="11"/>
      <x:color rgb="FF526176"/>
      <x:name val="Arial"/>
    </x:font>
    <x:font>
      <x:sz val="11"/>
      <x:color rgb="FF875800"/>
      <x:name val="Arial"/>
    </x:font>
    <x:font>
      <x:b/>
      <x:sz val="11"/>
      <x:color rgb="FFFFFFFF"/>
      <x:name val="Arial"/>
    </x:font>
    <x:font>
      <x:b/>
      <x:sz val="11"/>
      <x:color rgb="FF002E5D"/>
      <x:name val="Arial"/>
    </x:font>
    <x:font>
      <x:b/>
      <x:sz val="11"/>
      <x:color rgb="FF25364A"/>
      <x:name val="Arial"/>
    </x:font>
    <x:font>
      <x:b/>
      <x:sz val="11"/>
      <x:color rgb="FF17613D"/>
      <x:name val="Arial"/>
    </x:font>
    <x:font>
      <x:sz val="11"/>
      <x:color rgb="FF245A91"/>
      <x:name val="Arial"/>
    </x:font>
    <x:font>
      <x:sz val="11"/>
      <x:color rgb="FF875800"/>
      <x:name val="Arial"/>
    </x:font>
    <x:font>
      <x:sz val="11"/>
      <x:color rgb="FF245A91"/>
      <x:name val="Arial"/>
    </x:font>
    <x:font>
      <x:b/>
      <x:sz val="14"/>
      <x:color rgb="FF17613D"/>
      <x:name val="Arial"/>
    </x:font>
    <x:font>
      <x:b/>
      <x:sz val="11"/>
      <x:color rgb="FF875800"/>
      <x:name val="Arial"/>
    </x:font>
    <x:font>
      <x:b/>
      <x:sz val="11"/>
      <x:color rgb="FFA23636"/>
      <x:name val="Arial"/>
    </x:font>
    <x:font>
      <x:sz val="11"/>
      <x:color rgb="FF52617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002E5D"/>
      </x:patternFill>
    </x:fill>
    <x:fill>
      <x:patternFill patternType="solid">
        <x:fgColor rgb="FFFFFFFF"/>
      </x:patternFill>
    </x:fill>
    <x:fill>
      <x:patternFill patternType="solid">
        <x:fgColor rgb="FF17613D"/>
      </x:patternFill>
    </x:fill>
    <x:fill>
      <x:patternFill patternType="solid">
        <x:fgColor rgb="FF245A91"/>
      </x:patternFill>
    </x:fill>
    <x:fill>
      <x:patternFill patternType="solid">
        <x:fgColor rgb="FF655293"/>
      </x:patternFill>
    </x:fill>
    <x:fill>
      <x:patternFill patternType="solid">
        <x:fgColor rgb="FFFFF8E7"/>
      </x:patternFill>
    </x:fill>
    <x:fill>
      <x:patternFill patternType="solid">
        <x:fgColor rgb="FFE8F4EC"/>
      </x:patternFill>
    </x:fill>
    <x:fill>
      <x:patternFill patternType="solid">
        <x:fgColor rgb="FFFBEAEA"/>
      </x:patternFill>
    </x:fill>
    <x:fill>
      <x:patternFill patternType="solid">
        <x:fgColor rgb="FFEAF1FA"/>
      </x:patternFill>
    </x:fill>
  </x:fills>
  <x:borders count="6">
    <x:border/>
    <x:border>
      <x:bottom style="thin">
        <x:color rgb="FFD6DEE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002E5D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200" fontId="7" fillId="4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8" fillId="4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0"/>
    </x:xf>
    <x:xf numFmtId="0" fontId="11" fillId="4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201" fontId="1" fillId="8" borderId="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horizontal="right" vertical="center" wrapText="1"/>
    </x:xf>
    <x:xf numFmtId="203" fontId="1" fillId="9" borderId="0" xfId="0" applyNumberFormat="1" applyFont="1" applyFill="1" applyBorder="1" applyAlignment="1">
      <x:alignment horizontal="right" vertical="center" wrapText="1"/>
    </x:xf>
    <x:xf numFmtId="202" fontId="1" fillId="9" borderId="0" xfId="0" applyNumberFormat="1" applyFont="1" applyFill="1" applyBorder="1" applyAlignment="1">
      <x:alignment horizontal="right" vertical="center"/>
    </x:xf>
    <x:xf numFmtId="203" fontId="1" fillId="9" borderId="0" xfId="0" applyNumberFormat="1" applyFont="1" applyFill="1" applyBorder="1" applyAlignment="1">
      <x:alignment horizontal="right" vertical="center"/>
    </x:xf>
    <x:xf numFmtId="202" fontId="13" fillId="9" borderId="0" xfId="0" applyNumberFormat="1" applyFont="1" applyFill="1" applyBorder="1" applyAlignment="1">
      <x:alignment horizontal="right" vertical="center" wrapText="1"/>
    </x:xf>
    <x:xf numFmtId="203" fontId="13" fillId="9" borderId="0" xfId="0" applyNumberFormat="1" applyFont="1" applyFill="1" applyBorder="1" applyAlignment="1">
      <x:alignment horizontal="right" vertical="center" wrapText="1"/>
    </x:xf>
    <x:xf numFmtId="202" fontId="13" fillId="9" borderId="0" xfId="0" applyNumberFormat="1" applyFont="1" applyFill="1" applyBorder="1" applyAlignment="1">
      <x:alignment horizontal="right" vertical="center"/>
    </x:xf>
    <x:xf numFmtId="203" fontId="13" fillId="9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 wrapText="1"/>
    </x:xf>
    <x:xf numFmtId="202" fontId="1" fillId="2" borderId="0" xfId="0" applyNumberFormat="1" applyFont="1" applyFill="1" applyBorder="1" applyAlignment="1">
      <x:alignment horizontal="right" vertical="center"/>
    </x:xf>
    <x:xf numFmtId="202" fontId="14" fillId="2" borderId="0" xfId="0" applyNumberFormat="1" applyFont="1" applyFill="1" applyBorder="1" applyAlignment="1">
      <x:alignment horizontal="right" vertical="center" wrapText="1"/>
    </x:xf>
    <x:xf numFmtId="202" fontId="14" fillId="2" borderId="0" xfId="0" applyNumberFormat="1" applyFont="1" applyFill="1" applyBorder="1" applyAlignment="1">
      <x:alignment horizontal="right" vertical="center"/>
    </x:xf>
    <x:xf numFmtId="202" fontId="1" fillId="10" borderId="0" xfId="0" applyNumberFormat="1" applyFont="1" applyFill="1" applyBorder="1" applyAlignment="1">
      <x:alignment horizontal="right" vertical="center" wrapText="1"/>
    </x:xf>
    <x:xf numFmtId="202" fontId="1" fillId="10" borderId="0" xfId="0" applyNumberFormat="1" applyFont="1" applyFill="1" applyBorder="1" applyAlignment="1">
      <x:alignment horizontal="right" vertical="center"/>
    </x:xf>
    <x:xf numFmtId="202" fontId="15" fillId="10" borderId="0" xfId="0" applyNumberFormat="1" applyFont="1" applyFill="1" applyBorder="1" applyAlignment="1">
      <x:alignment horizontal="right" vertical="center" wrapText="1"/>
    </x:xf>
    <x:xf numFmtId="202" fontId="15" fillId="10" borderId="0" xfId="0" applyNumberFormat="1" applyFont="1" applyFill="1" applyBorder="1" applyAlignment="1">
      <x:alignment horizontal="right" vertical="center"/>
    </x:xf>
    <x:xf numFmtId="0" fontId="7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2" fontId="13" fillId="9" borderId="5" xfId="0" applyNumberFormat="1" applyFont="1" applyFill="1" applyBorder="1" applyAlignment="1">
      <x:alignment horizontal="right" vertical="center"/>
    </x:xf>
    <x:xf numFmtId="203" fontId="13" fillId="9" borderId="5" xfId="0" applyNumberFormat="1" applyFont="1" applyFill="1" applyBorder="1" applyAlignment="1">
      <x:alignment horizontal="right" vertical="center"/>
    </x:xf>
    <x:xf numFmtId="202" fontId="14" fillId="2" borderId="5" xfId="0" applyNumberFormat="1" applyFont="1" applyFill="1" applyBorder="1" applyAlignment="1">
      <x:alignment horizontal="right" vertical="center"/>
    </x:xf>
    <x:xf numFmtId="202" fontId="15" fillId="10" borderId="5" xfId="0" applyNumberFormat="1" applyFont="1" applyFill="1" applyBorder="1" applyAlignment="1">
      <x:alignment horizontal="right" vertical="center"/>
    </x:xf>
    <x:xf numFmtId="0" fontId="8" fillId="0" borderId="5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horizontal="right" vertical="center"/>
    </x:xf>
    <x:xf numFmtId="202" fontId="8" fillId="9" borderId="5" xfId="0" applyNumberFormat="1" applyFont="1" applyFill="1" applyBorder="1" applyAlignment="1">
      <x:alignment horizontal="right" vertical="center"/>
    </x:xf>
    <x:xf numFmtId="203" fontId="8" fillId="9" borderId="5" xfId="0" applyNumberFormat="1" applyFont="1" applyFill="1" applyBorder="1" applyAlignment="1">
      <x:alignment horizontal="right" vertical="center"/>
    </x:xf>
    <x:xf numFmtId="202" fontId="8" fillId="2" borderId="5" xfId="0" applyNumberFormat="1" applyFont="1" applyFill="1" applyBorder="1" applyAlignment="1">
      <x:alignment horizontal="right" vertical="center"/>
    </x:xf>
    <x:xf numFmtId="202" fontId="8" fillId="10" borderId="5" xfId="0" applyNumberFormat="1" applyFont="1" applyFill="1" applyBorder="1" applyAlignment="1">
      <x:alignment horizontal="right" vertical="center"/>
    </x:xf>
    <x:xf numFmtId="0" fontId="1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horizontal="right" vertical="center"/>
    </x:xf>
    <x:xf numFmtId="203" fontId="8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16" fillId="0" borderId="0" xfId="0" applyNumberFormat="1" applyFont="1" applyFill="1" applyBorder="1"/>
  </x:cellXfs>
  <x:cellStyles count="1">
    <x:cellStyle name="Normal" xfId="0"/>
  </x:cellStyles>
  <x:dxfs count="37"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ont>
        <x:b/>
        <x:color rgb="FF526176"/>
      </x:font>
      <x:fill>
        <x:patternFill patternType="solid">
          <x:bgColor rgb="FFF3F5F8"/>
        </x:patternFill>
      </x:fill>
    </x:dxf>
    <x:dxf>
      <x:font>
        <x:b/>
        <x:color rgb="FFA23636"/>
      </x:font>
      <x:fill>
        <x:patternFill patternType="solid">
          <x:bgColor rgb="FFFBEAEA"/>
        </x:patternFill>
      </x:fill>
    </x:dxf>
    <x:dxf>
      <x:font>
        <x:color rgb="FF245A91"/>
      </x:font>
      <x:fill>
        <x:patternFill patternType="solid">
          <x:bgColor rgb="FFEAF1FA"/>
        </x:patternFill>
      </x:fill>
    </x:dxf>
    <x:dxf>
      <x:font>
        <x:color rgb="FF655293"/>
      </x:font>
      <x:fill>
        <x:patternFill patternType="solid">
          <x:bgColor rgb="FFF1ECFA"/>
        </x:patternFill>
      </x:fill>
    </x:dxf>
    <x:dxf>
      <x:font>
        <x:color rgb="FF1D696A"/>
      </x:font>
      <x:fill>
        <x:patternFill patternType="solid">
          <x:bgColor rgb="FFE5F3F3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ont>
        <x:color rgb="FFA23636"/>
      </x:font>
      <x:fill>
        <x:patternFill patternType="solid">
          <x:bgColor rgb="FFFBEAEA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b/>
        <x:color rgb="FF245A91"/>
      </x:font>
      <x:fill>
        <x:patternFill patternType="solid">
          <x:bgColor rgb="FFEAF1FA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d7ce894dc498c" /><Relationship Type="http://schemas.openxmlformats.org/officeDocument/2006/relationships/theme" Target="/xl/theme/theme1.xml" Id="Ra65222747ae84070" /><Relationship Type="http://schemas.openxmlformats.org/officeDocument/2006/relationships/sharedStrings" Target="/xl/sharedStrings.xml" Id="Rc908cecfd4a84944" /><Relationship Type="http://schemas.openxmlformats.org/officeDocument/2006/relationships/worksheet" Target="/xl/worksheets/sheet1.xml" Id="Red7e1617029e4885" /><Relationship Type="http://schemas.openxmlformats.org/officeDocument/2006/relationships/worksheet" Target="/xl/worksheets/sheet2.xml" Id="R760101cca58a4f5c" /><Relationship Type="http://schemas.openxmlformats.org/officeDocument/2006/relationships/worksheet" Target="/xl/worksheets/sheet3.xml" Id="R2b0871c7bb7f4a48" /></Relationships>
</file>

<file path=xl/tables/table1.xml><?xml version="1.0" encoding="utf-8"?>
<x:table xmlns:x="http://schemas.openxmlformats.org/spreadsheetml/2006/main" id="3" name="FinanceTrackerStatusSummary" displayName="FinanceTrackerStatusSummary" ref="A6:H9" headerRowCount="1" totalsRowCount="0" totalsRowShown="0">
  <x:autoFilter ref="A6:H9"/>
  <x:tableColumns count="8">
    <x:tableColumn id="1" name="Expected graduation"/>
    <x:tableColumn id="2" name="Students"/>
    <x:tableColumn id="3" name="Students placed"/>
    <x:tableColumn id="4" name="Placement rate"/>
    <x:tableColumn id="5" name="Actively Seeking"/>
    <x:tableColumn id="6" name="Not Seeking"/>
    <x:tableColumn id="7" name="no status"/>
    <x:tableColumn id="8" name="Internship recorde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FinanceTrackerInformationSummary" displayName="FinanceTrackerInformationSummary" ref="A15:H18" headerRowCount="1" totalsRowCount="0" totalsRowShown="0">
  <x:autoFilter ref="A15:H18"/>
  <x:tableColumns count="8">
    <x:tableColumn id="1" name="Expected graduation"/>
    <x:tableColumn id="2" name="Internship recorded"/>
    <x:tableColumn id="3" name="Internship coverage"/>
    <x:tableColumn id="4" name="No internship reported"/>
    <x:tableColumn id="5" name="Accepted company recorded"/>
    <x:tableColumn id="6" name="Accepted employer unreported"/>
    <x:tableColumn id="7" name="Email missing"/>
    <x:tableColumn id="8" name="Phone missing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FinancePlacementTracker" displayName="FinancePlacementTracker" ref="A8:J12" headerRowCount="1" totalsRowCount="0" totalsRowShown="0">
  <x:autoFilter ref="A8:J12"/>
  <x:tableColumns count="10">
    <x:tableColumn id="1" name="NetID"/>
    <x:tableColumn id="2" name="First name"/>
    <x:tableColumn id="3" name="Last name"/>
    <x:tableColumn id="4" name="Placement Status"/>
    <x:tableColumn id="5" name="Full-time placement Company"/>
    <x:tableColumn id="6" name="Most-recent internship Company"/>
    <x:tableColumn id="7" name="Expected Graduation date"/>
    <x:tableColumn id="8" name="Email Address"/>
    <x:tableColumn id="9" name="Cell phone #"/>
    <x:tableColumn id="10" name="Admit semester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2" name="FinancePlacementReview" displayName="FinancePlacementReview" ref="A6:H8" headerRowCount="1" totalsRowCount="0" totalsRowShown="0">
  <x:autoFilter ref="A6:H8"/>
  <x:tableColumns count="8">
    <x:tableColumn id="1" name="NetID"/>
    <x:tableColumn id="2" name="First name"/>
    <x:tableColumn id="3" name="Last name"/>
    <x:tableColumn id="4" name="Expected graduation"/>
    <x:tableColumn id="5" name="Issue to confirm"/>
    <x:tableColumn id="6" name="Suggested action"/>
    <x:tableColumn id="7" name="Review status"/>
    <x:tableColumn id="8" name="Reviewed 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6aca90e0f7499f" /><Relationship Type="http://schemas.openxmlformats.org/officeDocument/2006/relationships/table" Target="/xl/tables/table2.xml" Id="R7ee9b272fef14b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da3905706984f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b94c6c9bb904ea8" /></Relationships>
</file>

<file path=xl/worksheets/sheet1.xml><?xml version="1.0" encoding="utf-8"?>
<x:worksheet xmlns:x="http://schemas.openxmlformats.org/spreadsheetml/2006/main">
  <x:sheetPr>
    <x:tabColor rgb="FF002E5D"/>
  </x:sheetPr>
  <x:sheetViews>
    <x:sheetView showGridLines="0" workbookViewId="0"/>
  </x:sheetViews>
  <x:sheetFormatPr defaultRowHeight="15"/>
  <x:cols>
    <x:col min="1" max="1" width="18.670000076293945" hidden="0" customWidth="1"/>
    <x:col min="2" max="2" width="11.109999656677246" hidden="0" customWidth="1"/>
    <x:col min="3" max="3" width="12.220000267028809" hidden="0" customWidth="1"/>
    <x:col min="4" max="4" width="14.670000076293945" hidden="0" customWidth="1"/>
    <x:col min="5" max="5" width="14" hidden="0" customWidth="1"/>
    <x:col min="6" max="6" width="13.5600004196167" hidden="0" customWidth="1"/>
    <x:col min="7" max="7" width="12" hidden="0" customWidth="1"/>
    <x:col min="8" max="8" width="15.560000419616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4" t="str">
        <x:v>Finance placement snapshot</x:v>
      </x:c>
      <x:c r="B2" s="4"/>
      <x:c r="C2" s="4"/>
      <x:c r="D2" s="4"/>
      <x:c r="E2" s="4"/>
      <x:c r="F2" s="4"/>
      <x:c r="G2" s="4"/>
      <x:c r="H2" s="4"/>
    </x:row>
    <x:row r="3" ht="25" customHeight="1">
      <x:c r="A3" s="5" t="str">
        <x:v>Requested graduation terms only • As of September 30, 2026</x:v>
      </x:c>
      <x:c r="B3" s="5"/>
      <x:c r="C3" s="5"/>
      <x:c r="D3" s="5"/>
      <x:c r="E3" s="5"/>
      <x:c r="F3" s="5"/>
      <x:c r="G3" s="5"/>
      <x:c r="H3" s="5"/>
    </x:row>
    <x:row r="4" ht="25" customHeight="1">
      <x:c r="A4" s="38" t="str">
        <x:v>Placed = Accepted Offer status. Placement rate = placed students ÷ all students in the graduation term.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8" customHeight="1">
      <x:c r="A6" s="18" t="str">
        <x:v>Expected graduation</x:v>
      </x:c>
      <x:c r="B6" s="19" t="str">
        <x:v>Students</x:v>
      </x:c>
      <x:c r="C6" s="28" t="str">
        <x:v>Students placed</x:v>
      </x:c>
      <x:c r="D6" s="28" t="str">
        <x:v>Placement rate</x:v>
      </x:c>
      <x:c r="E6" s="19" t="str">
        <x:v>Actively Seeking</x:v>
      </x:c>
      <x:c r="F6" s="19" t="str">
        <x:v>Not Seeking</x:v>
      </x:c>
      <x:c r="G6" s="19" t="str">
        <x:v>no status</x:v>
      </x:c>
      <x:c r="H6" s="20" t="str">
        <x:v>Internship recorded</x:v>
      </x:c>
    </x:row>
    <x:row r="7" ht="28" customHeight="1">
      <x:c r="A7" s="24" t="str">
        <x:v>Fall 2026</x:v>
      </x:c>
      <x:c r="B7" s="41" t="n">
        <x:f>COUNTIFS('Placement Tracker'!$G$9:$G$12,$A7)</x:f>
        <x:v>1</x:v>
      </x:c>
      <x:c r="C7" s="50" t="n">
        <x:f>COUNTIFS('Placement Tracker'!$G$9:$G$12,$A7,'Placement Tracker'!$D$9:$D$12,"Accepted Offer")</x:f>
        <x:v>0</x:v>
      </x:c>
      <x:c r="D7" s="51" t="n">
        <x:f>IF(B7=0,"—",C7/B7)</x:f>
        <x:v>0</x:v>
      </x:c>
      <x:c r="E7" s="56" t="n">
        <x:f>COUNTIFS('Placement Tracker'!$G$9:$G$12,$A7,'Placement Tracker'!$D$9:$D$12,"Actively Seeking")</x:f>
        <x:v>1</x:v>
      </x:c>
      <x:c r="F7" s="41" t="n">
        <x:f>COUNTIFS('Placement Tracker'!$G$9:$G$12,$A7,'Placement Tracker'!$D$9:$D$12,"Not Seeking")</x:f>
        <x:v>0</x:v>
      </x:c>
      <x:c r="G7" s="60" t="n">
        <x:f>COUNTIFS('Placement Tracker'!$G$9:$G$12,$A7,'Placement Tracker'!$D$9:$D$12,"no status")</x:f>
        <x:v>0</x:v>
      </x:c>
      <x:c r="H7" s="41" t="n">
        <x:f>SUMPRODUCT(('Placement Tracker'!$G$9:$G$12=$A7)*('Placement Tracker'!$F$9:$F$12&lt;&gt;""))</x:f>
        <x:v>1</x:v>
      </x:c>
    </x:row>
    <x:row r="8" ht="28" customHeight="1">
      <x:c r="A8" s="24" t="str">
        <x:v>Winter 2027</x:v>
      </x:c>
      <x:c r="B8" s="41" t="n">
        <x:f>COUNTIFS('Placement Tracker'!$G$9:$G$12,$A8)</x:f>
        <x:v>2</x:v>
      </x:c>
      <x:c r="C8" s="50" t="n">
        <x:f>COUNTIFS('Placement Tracker'!$G$9:$G$12,$A8,'Placement Tracker'!$D$9:$D$12,"Accepted Offer")</x:f>
        <x:v>1</x:v>
      </x:c>
      <x:c r="D8" s="51" t="n">
        <x:f>IF(B8=0,"—",C8/B8)</x:f>
        <x:v>0.5</x:v>
      </x:c>
      <x:c r="E8" s="56" t="n">
        <x:f>COUNTIFS('Placement Tracker'!$G$9:$G$12,$A8,'Placement Tracker'!$D$9:$D$12,"Actively Seeking")</x:f>
        <x:v>0</x:v>
      </x:c>
      <x:c r="F8" s="41" t="n">
        <x:f>COUNTIFS('Placement Tracker'!$G$9:$G$12,$A8,'Placement Tracker'!$D$9:$D$12,"Not Seeking")</x:f>
        <x:v>0</x:v>
      </x:c>
      <x:c r="G8" s="60" t="n">
        <x:f>COUNTIFS('Placement Tracker'!$G$9:$G$12,$A8,'Placement Tracker'!$D$9:$D$12,"no status")</x:f>
        <x:v>1</x:v>
      </x:c>
      <x:c r="H8" s="41" t="n">
        <x:f>SUMPRODUCT(('Placement Tracker'!$G$9:$G$12=$A8)*('Placement Tracker'!$F$9:$F$12&lt;&gt;""))</x:f>
        <x:v>1</x:v>
      </x:c>
    </x:row>
    <x:row r="9" ht="28" customHeight="1">
      <x:c r="A9" s="24" t="str">
        <x:v>Spring 2027</x:v>
      </x:c>
      <x:c r="B9" s="41" t="n">
        <x:f>COUNTIFS('Placement Tracker'!$G$9:$G$12,$A9)</x:f>
        <x:v>1</x:v>
      </x:c>
      <x:c r="C9" s="50" t="n">
        <x:f>COUNTIFS('Placement Tracker'!$G$9:$G$12,$A9,'Placement Tracker'!$D$9:$D$12,"Accepted Offer")</x:f>
        <x:v>0</x:v>
      </x:c>
      <x:c r="D9" s="51" t="n">
        <x:f>IF(B9=0,"—",C9/B9)</x:f>
        <x:v>0</x:v>
      </x:c>
      <x:c r="E9" s="56" t="n">
        <x:f>COUNTIFS('Placement Tracker'!$G$9:$G$12,$A9,'Placement Tracker'!$D$9:$D$12,"Actively Seeking")</x:f>
        <x:v>0</x:v>
      </x:c>
      <x:c r="F9" s="41" t="n">
        <x:f>COUNTIFS('Placement Tracker'!$G$9:$G$12,$A9,'Placement Tracker'!$D$9:$D$12,"Not Seeking")</x:f>
        <x:v>1</x:v>
      </x:c>
      <x:c r="G9" s="60" t="n">
        <x:f>COUNTIFS('Placement Tracker'!$G$9:$G$12,$A9,'Placement Tracker'!$D$9:$D$12,"no status")</x:f>
        <x:v>0</x:v>
      </x:c>
      <x:c r="H9" s="41" t="n">
        <x:f>SUMPRODUCT(('Placement Tracker'!$G$9:$G$12=$A9)*('Placement Tracker'!$F$9:$F$12&lt;&gt;""))</x:f>
        <x:v>1</x:v>
      </x:c>
    </x:row>
    <x:row r="10" ht="38" customHeight="1">
      <x:c r="A10" s="68" t="str">
        <x:v>All requested students</x:v>
      </x:c>
      <x:c r="B10" s="69" t="n">
        <x:f>SUM(B7:B9)</x:f>
        <x:v>4</x:v>
      </x:c>
      <x:c r="C10" s="70" t="n">
        <x:f>SUM(C7:C9)</x:f>
        <x:v>1</x:v>
      </x:c>
      <x:c r="D10" s="71" t="n">
        <x:f>IF(B10=0,"—",C10/B10)</x:f>
        <x:v>0.25</x:v>
      </x:c>
      <x:c r="E10" s="72" t="n">
        <x:f>SUM(E7:E9)</x:f>
        <x:v>1</x:v>
      </x:c>
      <x:c r="F10" s="69" t="n">
        <x:f>SUM(F7:F9)</x:f>
        <x:v>1</x:v>
      </x:c>
      <x:c r="G10" s="73" t="n">
        <x:f>SUM(G7:G9)</x:f>
        <x:v>1</x:v>
      </x:c>
      <x:c r="H10" s="69" t="n">
        <x:f>SUM(H7:H9)</x:f>
        <x:v>3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9" customHeight="1">
      <x:c r="A13" s="75" t="str">
        <x:v>Contact and employer information</x:v>
      </x:c>
      <x:c r="B13" s="75"/>
      <x:c r="C13" s="75"/>
      <x:c r="D13" s="75"/>
      <x:c r="E13" s="75"/>
      <x:c r="F13" s="75"/>
      <x:c r="G13" s="75"/>
      <x:c r="H13" s="75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56" customHeight="1">
      <x:c r="A15" s="18" t="str">
        <x:v>Expected graduation</x:v>
      </x:c>
      <x:c r="B15" s="19" t="str">
        <x:v>Internship recorded</x:v>
      </x:c>
      <x:c r="C15" s="19" t="str">
        <x:v>Internship coverage</x:v>
      </x:c>
      <x:c r="D15" s="19" t="str">
        <x:v>No internship reported</x:v>
      </x:c>
      <x:c r="E15" s="19" t="str">
        <x:v>Accepted company recorded</x:v>
      </x:c>
      <x:c r="F15" s="19" t="str">
        <x:v>Accepted employer unreported</x:v>
      </x:c>
      <x:c r="G15" s="19" t="str">
        <x:v>Email missing</x:v>
      </x:c>
      <x:c r="H15" s="20" t="str">
        <x:v>Phone missing</x:v>
      </x:c>
    </x:row>
    <x:row r="16" ht="28" customHeight="1">
      <x:c r="A16" s="23" t="str">
        <x:v>Fall 2026</x:v>
      </x:c>
      <x:c r="B16" s="41" t="n">
        <x:f>H7</x:f>
        <x:v>1</x:v>
      </x:c>
      <x:c r="C16" s="43" t="n">
        <x:f>IF(B7=0,"—",B16/B7)</x:f>
        <x:v>1</x:v>
      </x:c>
      <x:c r="D16" s="41" t="n">
        <x:f>B7-B16</x:f>
        <x:v>0</x:v>
      </x:c>
      <x:c r="E16" s="41" t="n">
        <x:f>SUMPRODUCT(('Placement Tracker'!$G$9:$G$12=$A16)*('Placement Tracker'!$E$9:$E$12&lt;&gt;"")*('Placement Tracker'!$E$9:$E$12&lt;&gt;"Not reported / verify"))</x:f>
        <x:v>0</x:v>
      </x:c>
      <x:c r="F16" s="41" t="n">
        <x:f>COUNTIFS('Placement Tracker'!$G$9:$G$12,$A16,'Placement Tracker'!$D$9:$D$12,"Accepted Offer",'Placement Tracker'!$E$9:$E$12,"Not reported / verify")</x:f>
        <x:v>0</x:v>
      </x:c>
      <x:c r="G16" s="41" t="n">
        <x:f>B7-SUMPRODUCT(('Placement Tracker'!$G$9:$G$12=$A16)*('Placement Tracker'!$H$9:$H$12&lt;&gt;""))</x:f>
        <x:v>0</x:v>
      </x:c>
      <x:c r="H16" s="41" t="n">
        <x:f>B7-SUMPRODUCT(('Placement Tracker'!$G$9:$G$12=$A16)*('Placement Tracker'!$I$9:$I$12&lt;&gt;""))</x:f>
        <x:v>0</x:v>
      </x:c>
    </x:row>
    <x:row r="17" ht="28" customHeight="1">
      <x:c r="A17" s="23" t="str">
        <x:v>Winter 2027</x:v>
      </x:c>
      <x:c r="B17" s="41" t="n">
        <x:f>H8</x:f>
        <x:v>1</x:v>
      </x:c>
      <x:c r="C17" s="43" t="n">
        <x:f>IF(B8=0,"—",B17/B8)</x:f>
        <x:v>0.5</x:v>
      </x:c>
      <x:c r="D17" s="41" t="n">
        <x:f>B8-B17</x:f>
        <x:v>1</x:v>
      </x:c>
      <x:c r="E17" s="41" t="n">
        <x:f>SUMPRODUCT(('Placement Tracker'!$G$9:$G$12=$A17)*('Placement Tracker'!$E$9:$E$12&lt;&gt;"")*('Placement Tracker'!$E$9:$E$12&lt;&gt;"Not reported / verify"))</x:f>
        <x:v>1</x:v>
      </x:c>
      <x:c r="F17" s="41" t="n">
        <x:f>COUNTIFS('Placement Tracker'!$G$9:$G$12,$A17,'Placement Tracker'!$D$9:$D$12,"Accepted Offer",'Placement Tracker'!$E$9:$E$12,"Not reported / verify")</x:f>
        <x:v>0</x:v>
      </x:c>
      <x:c r="G17" s="41" t="n">
        <x:f>B8-SUMPRODUCT(('Placement Tracker'!$G$9:$G$12=$A17)*('Placement Tracker'!$H$9:$H$12&lt;&gt;""))</x:f>
        <x:v>0</x:v>
      </x:c>
      <x:c r="H17" s="41" t="n">
        <x:f>B8-SUMPRODUCT(('Placement Tracker'!$G$9:$G$12=$A17)*('Placement Tracker'!$I$9:$I$12&lt;&gt;""))</x:f>
        <x:v>1</x:v>
      </x:c>
    </x:row>
    <x:row r="18" ht="28" customHeight="1">
      <x:c r="A18" s="23" t="str">
        <x:v>Spring 2027</x:v>
      </x:c>
      <x:c r="B18" s="41" t="n">
        <x:f>H9</x:f>
        <x:v>1</x:v>
      </x:c>
      <x:c r="C18" s="43" t="n">
        <x:f>IF(B9=0,"—",B18/B9)</x:f>
        <x:v>1</x:v>
      </x:c>
      <x:c r="D18" s="41" t="n">
        <x:f>B9-B18</x:f>
        <x:v>0</x:v>
      </x:c>
      <x:c r="E18" s="41" t="n">
        <x:f>SUMPRODUCT(('Placement Tracker'!$G$9:$G$12=$A18)*('Placement Tracker'!$E$9:$E$12&lt;&gt;"")*('Placement Tracker'!$E$9:$E$12&lt;&gt;"Not reported / verify"))</x:f>
        <x:v>0</x:v>
      </x:c>
      <x:c r="F18" s="41" t="n">
        <x:f>COUNTIFS('Placement Tracker'!$G$9:$G$12,$A18,'Placement Tracker'!$D$9:$D$12,"Accepted Offer",'Placement Tracker'!$E$9:$E$12,"Not reported / verify")</x:f>
        <x:v>0</x:v>
      </x:c>
      <x:c r="G18" s="41" t="n">
        <x:f>B9-SUMPRODUCT(('Placement Tracker'!$G$9:$G$12=$A18)*('Placement Tracker'!$H$9:$H$12&lt;&gt;""))</x:f>
        <x:v>0</x:v>
      </x:c>
      <x:c r="H18" s="41" t="n">
        <x:f>B9-SUMPRODUCT(('Placement Tracker'!$G$9:$G$12=$A18)*('Placement Tracker'!$I$9:$I$12&lt;&gt;""))</x:f>
        <x:v>0</x:v>
      </x:c>
    </x:row>
    <x:row r="19" ht="38" customHeight="1">
      <x:c r="A19" s="68" t="str">
        <x:v>All requested students</x:v>
      </x:c>
      <x:c r="B19" s="69" t="n">
        <x:f>SUM(B16:B18)</x:f>
        <x:v>3</x:v>
      </x:c>
      <x:c r="C19" s="78" t="n">
        <x:f>IF(B10=0,"—",B19/B10)</x:f>
        <x:v>0.75</x:v>
      </x:c>
      <x:c r="D19" s="69" t="n">
        <x:f>SUM(D16:D18)</x:f>
        <x:v>1</x:v>
      </x:c>
      <x:c r="E19" s="69" t="n">
        <x:f>SUM(E16:E18)</x:f>
        <x:v>1</x:v>
      </x:c>
      <x:c r="F19" s="69" t="n">
        <x:f>SUM(F16:F18)</x:f>
        <x:v>0</x:v>
      </x:c>
      <x:c r="G19" s="69" t="n">
        <x:f>SUM(G16:G18)</x:f>
        <x:v>0</x:v>
      </x:c>
      <x:c r="H19" s="69" t="n">
        <x:f>SUM(H16:H18)</x:f>
        <x:v>1</x:v>
      </x:c>
    </x:row>
    <x:row r="20" ht="25" customHeight="1">
      <x:c r="A20" s="2"/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7" t="str">
        <x:v>Enrollment is unverified; 1 future admit term requires confirmation on Review.</x:v>
      </x:c>
      <x:c r="B22" s="2"/>
      <x:c r="C22" s="2"/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  <x:row r="24" ht="25" customHeight="1">
      <x:c r="A24" s="6" t="str">
        <x:v>Admit semester uses Start Semester; Phone is the available number and is not verified as a mobile number.</x:v>
      </x:c>
      <x:c r="B24" s="2"/>
      <x:c r="C24" s="2"/>
      <x:c r="D24" s="2"/>
      <x:c r="E24" s="2"/>
      <x:c r="F24" s="2"/>
      <x:c r="G24" s="2"/>
      <x:c r="H24" s="2"/>
    </x:row>
    <x:row r="25" ht="25" customHeight="1">
      <x:c r="A25" s="6" t="str">
        <x:v>Monthly refresh: use fresh exports and compare by NetID with your shared working sheet.</x:v>
      </x:c>
      <x:c r="B25" s="2"/>
      <x:c r="C25" s="2"/>
      <x:c r="D25" s="2"/>
      <x:c r="E25" s="2"/>
      <x:c r="F25" s="2"/>
      <x:c r="G25" s="2"/>
      <x:c r="H25" s="2"/>
    </x:row>
    <x:row r="26" ht="25" customHeight="1">
      <x:c r="A26" s="6" t="str">
        <x:v>Keep coach updates in the working sheet; use the refreshed report to identify changes.</x:v>
      </x:c>
      <x:c r="B26" s="2"/>
      <x:c r="C26" s="2"/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</x:sheetData>
  <x:conditionalFormatting sqref="A7:A9">
    <x:cfRule type="expression" dxfId="26" priority="1">
      <x:formula>MOD(ROW()-7,2)=0</x:formula>
    </x:cfRule>
  </x:conditionalFormatting>
  <x:conditionalFormatting sqref="B7:B9">
    <x:cfRule type="expression" dxfId="27" priority="2">
      <x:formula>MOD(ROW()-7,2)=0</x:formula>
    </x:cfRule>
  </x:conditionalFormatting>
  <x:conditionalFormatting sqref="F7:F9">
    <x:cfRule type="expression" dxfId="28" priority="3">
      <x:formula>MOD(ROW()-7,2)=0</x:formula>
    </x:cfRule>
  </x:conditionalFormatting>
  <x:conditionalFormatting sqref="H7:H9">
    <x:cfRule type="expression" dxfId="29" priority="4">
      <x:formula>MOD(ROW()-7,2)=0</x:formula>
    </x:cfRule>
  </x:conditionalFormatting>
  <x:conditionalFormatting sqref="A16:A18">
    <x:cfRule type="expression" dxfId="30" priority="5">
      <x:formula>MOD(ROW()-16,2)=0</x:formula>
    </x:cfRule>
  </x:conditionalFormatting>
  <x:conditionalFormatting sqref="B16:B18">
    <x:cfRule type="expression" dxfId="31" priority="6">
      <x:formula>MOD(ROW()-16,2)=0</x:formula>
    </x:cfRule>
  </x:conditionalFormatting>
  <x:conditionalFormatting sqref="C16:C18">
    <x:cfRule type="expression" dxfId="32" priority="7">
      <x:formula>MOD(ROW()-16,2)=0</x:formula>
    </x:cfRule>
  </x:conditionalFormatting>
  <x:conditionalFormatting sqref="D16:D18">
    <x:cfRule type="expression" dxfId="33" priority="8">
      <x:formula>MOD(ROW()-16,2)=0</x:formula>
    </x:cfRule>
  </x:conditionalFormatting>
  <x:conditionalFormatting sqref="E16:E18">
    <x:cfRule type="expression" dxfId="34" priority="9">
      <x:formula>MOD(ROW()-16,2)=0</x:formula>
    </x:cfRule>
  </x:conditionalFormatting>
  <x:conditionalFormatting sqref="G16:G18">
    <x:cfRule type="expression" dxfId="35" priority="10">
      <x:formula>MOD(ROW()-16,2)=0</x:formula>
    </x:cfRule>
  </x:conditionalFormatting>
  <x:conditionalFormatting sqref="F16:H19">
    <x:cfRule type="expression" dxfId="36" priority="11">
      <x:formula>F16&gt;0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606aca90e0f7499f"/>
    <x:tablePart xmlns:r="http://schemas.openxmlformats.org/officeDocument/2006/relationships" r:id="R7ee9b272fef14b3c"/>
  </x:tableParts>
</x:worksheet>
</file>

<file path=xl/worksheets/sheet2.xml><?xml version="1.0" encoding="utf-8"?>
<x:worksheet xmlns:x="http://schemas.openxmlformats.org/spreadsheetml/2006/main">
  <x:sheetPr>
    <x:tabColor rgb="FF002E5D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3.890000343322754" hidden="0" customWidth="1"/>
    <x:col min="2" max="2" width="14.4399995803833" hidden="0" customWidth="1"/>
    <x:col min="3" max="3" width="17.780000686645508" hidden="0" customWidth="1"/>
    <x:col min="4" max="4" width="17.219999313354492" hidden="0" customWidth="1"/>
    <x:col min="5" max="5" width="27.219999313354492" hidden="0" customWidth="1"/>
    <x:col min="6" max="6" width="30.559999465942383" hidden="0" customWidth="1"/>
    <x:col min="7" max="7" width="18.889999389648438" hidden="0" customWidth="1"/>
    <x:col min="8" max="8" width="27.780000686645508" hidden="0" customWidth="1"/>
    <x:col min="9" max="9" width="16.670000076293945" hidden="0" customWidth="1"/>
    <x:col min="10" max="10" width="16.670000076293945" hidden="0" customWidth="1"/>
    <x:col min="12" max="12" width="41.11000061035156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4" t="str">
        <x:v>Finance placement tracker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5" t="str">
        <x:v>Fall 2026 (December), Winter 2027 (April), Spring 2027 (June) • As of September 30, 2026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6" t="str">
        <x:v>Filter by placement status or graduation term to plan student outreach.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8" t="str">
        <x:v>Current enrollment is not available in the exports; verify 1 future admit term on Review.</x:v>
      </x:c>
      <x:c r="B5" s="9"/>
      <x:c r="C5" s="9"/>
      <x:c r="D5" s="9"/>
      <x:c r="E5" s="9"/>
      <x:c r="F5" s="9"/>
      <x:c r="G5" s="9"/>
      <x:c r="H5" s="9"/>
      <x:c r="I5" s="9"/>
      <x:c r="J5" s="9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1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44" customHeight="1">
      <x:c r="A8" s="18" t="str">
        <x:v>NetID</x:v>
      </x:c>
      <x:c r="B8" s="19" t="str">
        <x:v>First name</x:v>
      </x:c>
      <x:c r="C8" s="19" t="str">
        <x:v>Last name</x:v>
      </x:c>
      <x:c r="D8" s="19" t="str">
        <x:v>Placement Status</x:v>
      </x:c>
      <x:c r="E8" s="28" t="str">
        <x:v>Full-time placement Company</x:v>
      </x:c>
      <x:c r="F8" s="29" t="str">
        <x:v>Most-recent internship Company</x:v>
      </x:c>
      <x:c r="G8" s="30" t="str">
        <x:v>Expected Graduation date</x:v>
      </x:c>
      <x:c r="H8" s="19" t="str">
        <x:v>Email Address</x:v>
      </x:c>
      <x:c r="I8" s="19" t="str">
        <x:v>Cell phone #</x:v>
      </x:c>
      <x:c r="J8" s="20" t="str">
        <x:v>Admit semester</x:v>
      </x:c>
      <x:c r="L8" s="79" t="str">
        <x:v>Source exports</x:v>
      </x:c>
    </x:row>
    <x:row r="9" ht="28" customHeight="1">
      <x:c r="A9" s="31" t="str">
        <x:v>demo_seek</x:v>
      </x:c>
      <x:c r="B9" s="32" t="str">
        <x:v>Demo</x:v>
      </x:c>
      <x:c r="C9" s="33" t="str">
        <x:v>Seeking</x:v>
      </x:c>
      <x:c r="D9" s="23" t="str">
        <x:v>Actively Seeking</x:v>
      </x:c>
      <x:c r="E9" s="26" t="str"/>
      <x:c r="F9" s="27" t="str">
        <x:v>Example, Inc.</x:v>
      </x:c>
      <x:c r="G9" s="23" t="str">
        <x:v>Fall 2026</x:v>
      </x:c>
      <x:c r="H9" s="34" t="str">
        <x:v>demo_seek@example.test</x:v>
      </x:c>
      <x:c r="I9" s="34" t="str">
        <x:v>12025550101</x:v>
      </x:c>
      <x:c r="J9" s="32" t="str">
        <x:v>Fall 2025</x:v>
      </x:c>
      <x:c r="L9" s="80" t="str">
        <x:v>Students_2026_09_30.csv</x:v>
      </x:c>
    </x:row>
    <x:row r="10" ht="28" customHeight="1">
      <x:c r="A10" s="31" t="str">
        <x:v>demo_placed</x:v>
      </x:c>
      <x:c r="B10" s="32" t="str">
        <x:v>Demo</x:v>
      </x:c>
      <x:c r="C10" s="33" t="str">
        <x:v>Accepted</x:v>
      </x:c>
      <x:c r="D10" s="23" t="str">
        <x:v>Accepted Offer</x:v>
      </x:c>
      <x:c r="E10" s="26" t="str">
        <x:v>Example Finance</x:v>
      </x:c>
      <x:c r="F10" s="27" t="str">
        <x:v>Example Finance</x:v>
      </x:c>
      <x:c r="G10" s="23" t="str">
        <x:v>Winter 2027</x:v>
      </x:c>
      <x:c r="H10" s="34" t="str">
        <x:v>demo_placed@example.test</x:v>
      </x:c>
      <x:c r="I10" s="34" t="str">
        <x:v>12025550102</x:v>
      </x:c>
      <x:c r="J10" s="32" t="str">
        <x:v>Fall 2025</x:v>
      </x:c>
      <x:c r="L10" s="80" t="str">
        <x:v>Internship_Placements_2026_09_30.csv</x:v>
      </x:c>
    </x:row>
    <x:row r="11" ht="28" customHeight="1">
      <x:c r="A11" s="31" t="str">
        <x:v>demo_status</x:v>
      </x:c>
      <x:c r="B11" s="32" t="str">
        <x:v>Demo</x:v>
      </x:c>
      <x:c r="C11" s="33" t="str">
        <x:v>Unreported</x:v>
      </x:c>
      <x:c r="D11" s="23" t="str">
        <x:v>no status</x:v>
      </x:c>
      <x:c r="E11" s="26" t="str"/>
      <x:c r="F11" s="27" t="str"/>
      <x:c r="G11" s="23" t="str">
        <x:v>Winter 2027</x:v>
      </x:c>
      <x:c r="H11" s="34" t="str">
        <x:v>demo_status@example.test</x:v>
      </x:c>
      <x:c r="I11" s="34" t="str"/>
      <x:c r="J11" s="32" t="str">
        <x:v>Fall 2027</x:v>
      </x:c>
      <x:c r="L11" s="80" t="str">
        <x:v>Full_Time_Placements_2026_09_30.csv</x:v>
      </x:c>
    </x:row>
    <x:row r="12" ht="28" customHeight="1">
      <x:c r="A12" s="31" t="str">
        <x:v>demo_education</x:v>
      </x:c>
      <x:c r="B12" s="32" t="str">
        <x:v>Demo</x:v>
      </x:c>
      <x:c r="C12" s="33" t="str">
        <x:v>Education</x:v>
      </x:c>
      <x:c r="D12" s="23" t="str">
        <x:v>Not Seeking</x:v>
      </x:c>
      <x:c r="E12" s="26" t="str"/>
      <x:c r="F12" s="27" t="str">
        <x:v>Example Education</x:v>
      </x:c>
      <x:c r="G12" s="23" t="str">
        <x:v>Spring 2027</x:v>
      </x:c>
      <x:c r="H12" s="34" t="str">
        <x:v>demo_education@example.test</x:v>
      </x:c>
      <x:c r="I12" s="34" t="str">
        <x:v>12025550104</x:v>
      </x:c>
      <x:c r="J12" s="32" t="str">
        <x:v>Fall 2025</x:v>
      </x:c>
      <x:c r="L12" s="80"/>
    </x:row>
    <x:row r="13">
      <x:c r="L13" s="80" t="str">
        <x:v>Joined by Student Record Id; never by name.</x:v>
      </x:c>
    </x:row>
  </x:sheetData>
  <x:conditionalFormatting sqref="A9:A12">
    <x:cfRule type="expression" dxfId="0" priority="1">
      <x:formula>MOD(ROW()-9,2)=0</x:formula>
    </x:cfRule>
  </x:conditionalFormatting>
  <x:conditionalFormatting sqref="B9:B12">
    <x:cfRule type="expression" dxfId="1" priority="2">
      <x:formula>MOD(ROW()-9,2)=0</x:formula>
    </x:cfRule>
  </x:conditionalFormatting>
  <x:conditionalFormatting sqref="C9:C12">
    <x:cfRule type="expression" dxfId="2" priority="3">
      <x:formula>MOD(ROW()-9,2)=0</x:formula>
    </x:cfRule>
  </x:conditionalFormatting>
  <x:conditionalFormatting sqref="F9:F12">
    <x:cfRule type="expression" dxfId="3" priority="4">
      <x:formula>MOD(ROW()-9,2)=0</x:formula>
    </x:cfRule>
  </x:conditionalFormatting>
  <x:conditionalFormatting sqref="H9:H12">
    <x:cfRule type="expression" dxfId="4" priority="5">
      <x:formula>MOD(ROW()-9,2)=0</x:formula>
    </x:cfRule>
  </x:conditionalFormatting>
  <x:conditionalFormatting sqref="I9:I12">
    <x:cfRule type="expression" dxfId="5" priority="6">
      <x:formula>MOD(ROW()-9,2)=0</x:formula>
    </x:cfRule>
    <x:cfRule type="expression" dxfId="15" priority="16">
      <x:formula>$I9=""</x:formula>
    </x:cfRule>
  </x:conditionalFormatting>
  <x:conditionalFormatting sqref="J9:J12">
    <x:cfRule type="expression" dxfId="6" priority="7">
      <x:formula>MOD(ROW()-9,2)=0</x:formula>
    </x:cfRule>
    <x:cfRule type="expression" dxfId="16" priority="17">
      <x:formula>$J9="Fall 2027"</x:formula>
    </x:cfRule>
  </x:conditionalFormatting>
  <x:conditionalFormatting sqref="D9:D12">
    <x:cfRule type="expression" dxfId="7" priority="8">
      <x:formula>$D9="Accepted Offer"</x:formula>
    </x:cfRule>
    <x:cfRule type="expression" dxfId="8" priority="9">
      <x:formula>$D9="Actively Seeking"</x:formula>
    </x:cfRule>
    <x:cfRule type="expression" dxfId="9" priority="10">
      <x:formula>$D9="Not Seeking"</x:formula>
    </x:cfRule>
    <x:cfRule type="expression" dxfId="10" priority="11">
      <x:formula>$D9="no status"</x:formula>
    </x:cfRule>
  </x:conditionalFormatting>
  <x:conditionalFormatting sqref="G9:G12">
    <x:cfRule type="expression" dxfId="11" priority="12">
      <x:formula>$G9="Fall 2026"</x:formula>
    </x:cfRule>
    <x:cfRule type="expression" dxfId="12" priority="13">
      <x:formula>$G9="Winter 2027"</x:formula>
    </x:cfRule>
    <x:cfRule type="expression" dxfId="13" priority="14">
      <x:formula>$G9="Spring 2027"</x:formula>
    </x:cfRule>
  </x:conditionalFormatting>
  <x:conditionalFormatting sqref="E9:E12">
    <x:cfRule type="expression" dxfId="14" priority="15">
      <x:formula>$E9="Not reported / verify"</x:formula>
    </x:cfRule>
  </x:conditionalFormatting>
  <x:dataValidations count="1">
    <x:dataValidation type="list" sqref="D9:D12">
      <x:formula1>"Actively Seeking,Not Seeking,Accepted Offer,no 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a3905706984f82"/>
  </x:tableParts>
</x:worksheet>
</file>

<file path=xl/worksheets/sheet3.xml><?xml version="1.0" encoding="utf-8"?>
<x:worksheet xmlns:x="http://schemas.openxmlformats.org/spreadsheetml/2006/main">
  <x:sheetPr>
    <x:tabColor rgb="FFBE8B2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.890000343322754" hidden="0" customWidth="1"/>
    <x:col min="2" max="2" width="14.4399995803833" hidden="0" customWidth="1"/>
    <x:col min="3" max="3" width="17.780000686645508" hidden="0" customWidth="1"/>
    <x:col min="4" max="4" width="18.889999389648438" hidden="0" customWidth="1"/>
    <x:col min="5" max="5" width="35" hidden="0" customWidth="1"/>
    <x:col min="6" max="6" width="45.560001373291016" hidden="0" customWidth="1"/>
    <x:col min="7" max="7" width="14.4399995803833" hidden="0" customWidth="1"/>
    <x:col min="8" max="8" width="14.4399995803833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4" t="str">
        <x:v>Student records to confirm</x:v>
      </x:c>
      <x:c r="B2" s="4"/>
      <x:c r="C2" s="4"/>
      <x:c r="D2" s="4"/>
      <x:c r="E2" s="4"/>
      <x:c r="F2" s="4"/>
      <x:c r="G2" s="4"/>
      <x:c r="H2" s="4"/>
    </x:row>
    <x:row r="3" ht="25" customHeight="1">
      <x:c r="A3" s="5" t="str">
        <x:v>2 students in the requested graduation terms • Review status and reviewed date are editable</x:v>
      </x:c>
      <x:c r="B3" s="5"/>
      <x:c r="C3" s="5"/>
      <x:c r="D3" s="5"/>
      <x:c r="E3" s="5"/>
      <x:c r="F3" s="5"/>
      <x:c r="G3" s="5"/>
      <x:c r="H3" s="5"/>
    </x:row>
    <x:row r="4" ht="25" customHeight="1">
      <x:c r="A4" s="6" t="str">
        <x:v>Amber fields need confirmation; update the source database after resolving an issue.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4" customHeight="1">
      <x:c r="A6" s="18" t="str">
        <x:v>NetID</x:v>
      </x:c>
      <x:c r="B6" s="19" t="str">
        <x:v>First name</x:v>
      </x:c>
      <x:c r="C6" s="19" t="str">
        <x:v>Last name</x:v>
      </x:c>
      <x:c r="D6" s="19" t="str">
        <x:v>Expected graduation</x:v>
      </x:c>
      <x:c r="E6" s="19" t="str">
        <x:v>Issue to confirm</x:v>
      </x:c>
      <x:c r="F6" s="19" t="str">
        <x:v>Suggested action</x:v>
      </x:c>
      <x:c r="G6" s="19" t="str">
        <x:v>Review status</x:v>
      </x:c>
      <x:c r="H6" s="20" t="str">
        <x:v>Reviewed on</x:v>
      </x:c>
    </x:row>
    <x:row r="7" ht="42" customHeight="1">
      <x:c r="A7" s="24" t="str">
        <x:v>demo_status</x:v>
      </x:c>
      <x:c r="B7" s="23" t="str">
        <x:v>Demo</x:v>
      </x:c>
      <x:c r="C7" s="23" t="str">
        <x:v>Unreported</x:v>
      </x:c>
      <x:c r="D7" s="23" t="str">
        <x:v>Winter 2027</x:v>
      </x:c>
      <x:c r="E7" s="35" t="str">
        <x:v>Future admit semester: Fall 2027; Phone missing</x:v>
      </x:c>
      <x:c r="F7" s="23" t="str">
        <x:v>Confirm enrollment and Finance admit term. Collect a current cell phone number.</x:v>
      </x:c>
      <x:c r="G7" s="36" t="str">
        <x:v>Pending</x:v>
      </x:c>
      <x:c r="H7" s="37"/>
    </x:row>
    <x:row r="8" ht="42" customHeight="1">
      <x:c r="A8" s="24" t="str">
        <x:v>demo_education</x:v>
      </x:c>
      <x:c r="B8" s="23" t="str">
        <x:v>Demo</x:v>
      </x:c>
      <x:c r="C8" s="23" t="str">
        <x:v>Education</x:v>
      </x:c>
      <x:c r="D8" s="23" t="str">
        <x:v>Spring 2027</x:v>
      </x:c>
      <x:c r="E8" s="35" t="str">
        <x:v>Internship date missing</x:v>
      </x:c>
      <x:c r="F8" s="23" t="str">
        <x:v>Confirm the latest internship and its start date.</x:v>
      </x:c>
      <x:c r="G8" s="36" t="str">
        <x:v>Pending</x:v>
      </x:c>
      <x:c r="H8" s="37"/>
    </x:row>
  </x:sheetData>
  <x:conditionalFormatting sqref="A7:A8">
    <x:cfRule type="expression" dxfId="17" priority="1">
      <x:formula>MOD(ROW()-7,2)=0</x:formula>
    </x:cfRule>
  </x:conditionalFormatting>
  <x:conditionalFormatting sqref="B7:B8">
    <x:cfRule type="expression" dxfId="18" priority="2">
      <x:formula>MOD(ROW()-7,2)=0</x:formula>
    </x:cfRule>
  </x:conditionalFormatting>
  <x:conditionalFormatting sqref="C7:C8">
    <x:cfRule type="expression" dxfId="19" priority="3">
      <x:formula>MOD(ROW()-7,2)=0</x:formula>
    </x:cfRule>
  </x:conditionalFormatting>
  <x:conditionalFormatting sqref="D7:D8">
    <x:cfRule type="expression" dxfId="20" priority="4">
      <x:formula>MOD(ROW()-7,2)=0</x:formula>
    </x:cfRule>
  </x:conditionalFormatting>
  <x:conditionalFormatting sqref="E7:E8">
    <x:cfRule type="expression" dxfId="21" priority="5">
      <x:formula>MOD(ROW()-7,2)=0</x:formula>
    </x:cfRule>
  </x:conditionalFormatting>
  <x:conditionalFormatting sqref="F7:F8">
    <x:cfRule type="expression" dxfId="22" priority="6">
      <x:formula>MOD(ROW()-7,2)=0</x:formula>
    </x:cfRule>
  </x:conditionalFormatting>
  <x:conditionalFormatting sqref="G7:G8">
    <x:cfRule type="expression" dxfId="23" priority="7">
      <x:formula>$G7="Pending"</x:formula>
    </x:cfRule>
    <x:cfRule type="expression" dxfId="24" priority="8">
      <x:formula>$G7="Verified"</x:formula>
    </x:cfRule>
    <x:cfRule type="expression" dxfId="25" priority="9">
      <x:formula>$G7="Corrected"</x:formula>
    </x:cfRule>
  </x:conditionalFormatting>
  <x:dataValidations count="1">
    <x:dataValidation type="list" sqref="G7:G8">
      <x:formula1>"Pending,Verified,Corrected"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94c6c9bb904ea8"/>
  </x:tableParts>
</x:worksheet>
</file>