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871805eac046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cement Summary" sheetId="1" r:id="R58c9ce0913874d35"/>
    <x:sheet xmlns:r="http://schemas.openxmlformats.org/officeDocument/2006/relationships" name="Student Detail" sheetId="2" r:id="Re81c80f9f89946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@"/>
    <x:numFmt numFmtId="202" formatCode="#,##0"/>
    <x:numFmt numFmtId="203" formatCode="0.0%"/>
    <x:numFmt numFmtId="204" formatCode="+0.0&quot; pp&quot;;-0.0&quot; pp&quot;;0.0&quot; pp&quot;"/>
  </x:numFmts>
  <x:fonts count="17">
    <x:font>
      <x:sz val="11"/>
      <x:name val="Carlito"/>
    </x:font>
    <x:font>
      <x:sz val="11"/>
      <x:color rgb="FF25364A"/>
      <x:name val="Arial"/>
    </x:font>
    <x:font>
      <x:b/>
      <x:sz val="16"/>
      <x:color rgb="FF002E5D"/>
      <x:name val="Arial"/>
    </x:font>
    <x:font>
      <x:i/>
      <x:sz val="11"/>
      <x:color rgb="FF526176"/>
      <x:name val="Arial"/>
    </x:font>
    <x:font>
      <x:sz val="11"/>
      <x:color rgb="FF526176"/>
      <x:name val="Arial"/>
    </x:font>
    <x:font>
      <x:b/>
      <x:sz val="11"/>
      <x:color rgb="FFFFFFFF"/>
      <x:name val="Arial"/>
    </x:font>
    <x:font>
      <x:b/>
      <x:sz val="11"/>
      <x:color rgb="FF002E5D"/>
      <x:name val="Arial"/>
    </x:font>
    <x:font>
      <x:b/>
      <x:sz val="11"/>
      <x:color rgb="FF25364A"/>
      <x:name val="Arial"/>
    </x:font>
    <x:font>
      <x:b/>
      <x:sz val="11"/>
      <x:color rgb="FF17613D"/>
      <x:name val="Arial"/>
    </x:font>
    <x:font>
      <x:sz val="11"/>
      <x:color rgb="FF245A91"/>
      <x:name val="Arial"/>
    </x:font>
    <x:font>
      <x:sz val="11"/>
      <x:color rgb="FF875800"/>
      <x:name val="Arial"/>
    </x:font>
    <x:font>
      <x:sz val="11"/>
      <x:color rgb="FF526176"/>
      <x:name val="Arial"/>
    </x:font>
    <x:font>
      <x:sz val="11"/>
      <x:color rgb="FF245A91"/>
      <x:name val="Arial"/>
    </x:font>
    <x:font>
      <x:b/>
      <x:sz val="14"/>
      <x:color rgb="FF17613D"/>
      <x:name val="Arial"/>
    </x:font>
    <x:font>
      <x:b/>
      <x:sz val="11"/>
      <x:color rgb="FF875800"/>
      <x:name val="Arial"/>
    </x:font>
    <x:font>
      <x:b/>
      <x:sz val="11"/>
      <x:color rgb="FFA23636"/>
      <x:name val="Arial"/>
    </x:font>
    <x:font>
      <x:b/>
      <x:sz val="11"/>
      <x:color rgb="FF245A91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002E5D"/>
      </x:patternFill>
    </x:fill>
    <x:fill>
      <x:patternFill patternType="solid">
        <x:fgColor rgb="FFFFFFFF"/>
      </x:patternFill>
    </x:fill>
    <x:fill>
      <x:patternFill patternType="solid">
        <x:fgColor rgb="FF17613D"/>
      </x:patternFill>
    </x:fill>
    <x:fill>
      <x:patternFill patternType="solid">
        <x:fgColor rgb="FF245A91"/>
      </x:patternFill>
    </x:fill>
    <x:fill>
      <x:patternFill patternType="solid">
        <x:fgColor rgb="FFE8F4EC"/>
      </x:patternFill>
    </x:fill>
    <x:fill>
      <x:patternFill patternType="solid">
        <x:fgColor rgb="FFFFF1CC"/>
      </x:patternFill>
    </x:fill>
    <x:fill>
      <x:patternFill patternType="solid">
        <x:fgColor rgb="FFFBEAEA"/>
      </x:patternFill>
    </x:fill>
    <x:fill>
      <x:patternFill patternType="solid">
        <x:fgColor rgb="FFEAF1FA"/>
      </x:patternFill>
    </x:fill>
  </x:fills>
  <x:borders count="6">
    <x:border/>
    <x:border>
      <x:bottom style="thin">
        <x:color rgb="FFD6DEE9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002E5D"/>
      </x:top>
    </x:border>
  </x:borders>
  <x:cellStyleXfs count="1">
    <x:xf numFmtId="0" fontId="0" fillId="0" borderId="0"/>
  </x:cellStyleXfs>
  <x:cellXfs count="7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5" fillId="2" borderId="4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 wrapText="1"/>
    </x:xf>
    <x:xf numFmtId="0" fontId="5" fillId="2" borderId="3" xfId="0" applyNumberFormat="1" applyFont="1" applyFill="1" applyBorder="1" applyAlignment="1">
      <x:alignment vertical="center" wrapText="1"/>
    </x:xf>
    <x:xf numFmtId="0" fontId="5" fillId="2" borderId="4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center" vertical="center" wrapText="1"/>
    </x:xf>
    <x:xf numFmtId="0" fontId="5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left" vertical="center" wrapText="1"/>
    </x:xf>
    <x:xf numFmtId="200" fontId="6" fillId="3" borderId="0" xfId="0" applyNumberFormat="1" applyFont="1" applyFill="1" applyBorder="1" applyAlignment="1">
      <x:alignment horizontal="left" vertical="center" wrapText="1"/>
    </x:xf>
    <x:xf numFmtId="201" fontId="6" fillId="3" borderId="0" xfId="0" applyNumberFormat="1" applyFont="1" applyFill="1" applyBorder="1" applyAlignment="1">
      <x:alignment horizontal="left" vertical="center" wrapText="1"/>
    </x:xf>
    <x:xf numFmtId="201" fontId="7" fillId="3" borderId="0" xfId="0" applyNumberFormat="1" applyFont="1" applyFill="1" applyBorder="1" applyAlignment="1">
      <x:alignment horizontal="left" vertical="center" wrapText="1"/>
    </x:xf>
    <x:xf numFmtId="0" fontId="8" fillId="3" borderId="0" xfId="0" applyNumberFormat="1" applyFont="1" applyFill="1" applyBorder="1" applyAlignment="1">
      <x:alignment horizontal="left" vertical="center" wrapText="1"/>
    </x:xf>
    <x:xf numFmtId="0" fontId="9" fillId="3" borderId="0" xfId="0" applyNumberFormat="1" applyFont="1" applyFill="1" applyBorder="1" applyAlignment="1">
      <x:alignment horizontal="left" vertical="center" wrapText="1"/>
    </x:xf>
    <x:xf numFmtId="0" fontId="10" fillId="3" borderId="0" xfId="0" applyNumberFormat="1" applyFont="1" applyFill="1" applyBorder="1" applyAlignment="1">
      <x:alignment horizontal="left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11" fillId="0" borderId="0" xfId="0" applyNumberFormat="1" applyFont="1" applyFill="1" applyBorder="1"/>
    <x:xf numFmtId="0" fontId="12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horizontal="left" vertical="center" wrapText="1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horizontal="right" vertical="center" wrapText="1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 wrapText="1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3" borderId="0" xfId="0" applyNumberFormat="1" applyFont="1" applyFill="1" applyBorder="1" applyAlignment="1">
      <x:alignment horizontal="left" vertical="center" wrapText="1"/>
    </x:xf>
    <x:xf numFmtId="204" fontId="1" fillId="3" borderId="0" xfId="0" applyNumberFormat="1" applyFont="1" applyFill="1" applyBorder="1" applyAlignment="1">
      <x:alignment horizontal="right" vertical="center" wrapText="1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6" fillId="0" borderId="0" xfId="0" applyNumberFormat="1" applyFont="1" applyFill="1" applyBorder="1" applyAlignment="1">
      <x:alignment vertical="center"/>
    </x:xf>
    <x:xf numFmtId="202" fontId="1" fillId="6" borderId="0" xfId="0" applyNumberFormat="1" applyFont="1" applyFill="1" applyBorder="1" applyAlignment="1">
      <x:alignment horizontal="right" vertical="center" wrapText="1"/>
    </x:xf>
    <x:xf numFmtId="203" fontId="1" fillId="6" borderId="0" xfId="0" applyNumberFormat="1" applyFont="1" applyFill="1" applyBorder="1" applyAlignment="1">
      <x:alignment horizontal="right" vertical="center" wrapText="1"/>
    </x:xf>
    <x:xf numFmtId="202" fontId="1" fillId="6" borderId="0" xfId="0" applyNumberFormat="1" applyFont="1" applyFill="1" applyBorder="1" applyAlignment="1">
      <x:alignment horizontal="right" vertical="center"/>
    </x:xf>
    <x:xf numFmtId="203" fontId="1" fillId="6" borderId="0" xfId="0" applyNumberFormat="1" applyFont="1" applyFill="1" applyBorder="1" applyAlignment="1">
      <x:alignment horizontal="right" vertical="center"/>
    </x:xf>
    <x:xf numFmtId="202" fontId="13" fillId="6" borderId="0" xfId="0" applyNumberFormat="1" applyFont="1" applyFill="1" applyBorder="1" applyAlignment="1">
      <x:alignment horizontal="right" vertical="center" wrapText="1"/>
    </x:xf>
    <x:xf numFmtId="203" fontId="13" fillId="6" borderId="0" xfId="0" applyNumberFormat="1" applyFont="1" applyFill="1" applyBorder="1" applyAlignment="1">
      <x:alignment horizontal="right" vertical="center" wrapText="1"/>
    </x:xf>
    <x:xf numFmtId="202" fontId="13" fillId="6" borderId="0" xfId="0" applyNumberFormat="1" applyFont="1" applyFill="1" applyBorder="1" applyAlignment="1">
      <x:alignment horizontal="right" vertical="center"/>
    </x:xf>
    <x:xf numFmtId="203" fontId="13" fillId="6" borderId="0" xfId="0" applyNumberFormat="1" applyFont="1" applyFill="1" applyBorder="1" applyAlignment="1">
      <x:alignment horizontal="right" vertical="center"/>
    </x:xf>
    <x:xf numFmtId="202" fontId="1" fillId="7" borderId="0" xfId="0" applyNumberFormat="1" applyFont="1" applyFill="1" applyBorder="1" applyAlignment="1">
      <x:alignment horizontal="right" vertical="center" wrapText="1"/>
    </x:xf>
    <x:xf numFmtId="202" fontId="1" fillId="7" borderId="0" xfId="0" applyNumberFormat="1" applyFont="1" applyFill="1" applyBorder="1" applyAlignment="1">
      <x:alignment horizontal="right" vertical="center"/>
    </x:xf>
    <x:xf numFmtId="202" fontId="14" fillId="7" borderId="0" xfId="0" applyNumberFormat="1" applyFont="1" applyFill="1" applyBorder="1" applyAlignment="1">
      <x:alignment horizontal="right" vertical="center" wrapText="1"/>
    </x:xf>
    <x:xf numFmtId="202" fontId="14" fillId="7" borderId="0" xfId="0" applyNumberFormat="1" applyFont="1" applyFill="1" applyBorder="1" applyAlignment="1">
      <x:alignment horizontal="right" vertical="center"/>
    </x:xf>
    <x:xf numFmtId="202" fontId="1" fillId="8" borderId="0" xfId="0" applyNumberFormat="1" applyFont="1" applyFill="1" applyBorder="1" applyAlignment="1">
      <x:alignment horizontal="right" vertical="center" wrapText="1"/>
    </x:xf>
    <x:xf numFmtId="202" fontId="1" fillId="8" borderId="0" xfId="0" applyNumberFormat="1" applyFont="1" applyFill="1" applyBorder="1" applyAlignment="1">
      <x:alignment horizontal="right" vertical="center"/>
    </x:xf>
    <x:xf numFmtId="202" fontId="15" fillId="8" borderId="0" xfId="0" applyNumberFormat="1" applyFont="1" applyFill="1" applyBorder="1" applyAlignment="1">
      <x:alignment horizontal="right" vertical="center" wrapText="1"/>
    </x:xf>
    <x:xf numFmtId="202" fontId="15" fillId="8" borderId="0" xfId="0" applyNumberFormat="1" applyFont="1" applyFill="1" applyBorder="1" applyAlignment="1">
      <x:alignment horizontal="right" vertical="center"/>
    </x:xf>
    <x:xf numFmtId="0" fontId="6" fillId="0" borderId="5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horizontal="right" vertical="center"/>
    </x:xf>
    <x:xf numFmtId="202" fontId="13" fillId="6" borderId="5" xfId="0" applyNumberFormat="1" applyFont="1" applyFill="1" applyBorder="1" applyAlignment="1">
      <x:alignment horizontal="right" vertical="center"/>
    </x:xf>
    <x:xf numFmtId="203" fontId="13" fillId="6" borderId="5" xfId="0" applyNumberFormat="1" applyFont="1" applyFill="1" applyBorder="1" applyAlignment="1">
      <x:alignment horizontal="right" vertical="center"/>
    </x:xf>
    <x:xf numFmtId="202" fontId="14" fillId="7" borderId="5" xfId="0" applyNumberFormat="1" applyFont="1" applyFill="1" applyBorder="1" applyAlignment="1">
      <x:alignment horizontal="right" vertical="center"/>
    </x:xf>
    <x:xf numFmtId="202" fontId="15" fillId="8" borderId="5" xfId="0" applyNumberFormat="1" applyFont="1" applyFill="1" applyBorder="1" applyAlignment="1">
      <x:alignment horizontal="right" vertical="center"/>
    </x:xf>
    <x:xf numFmtId="0" fontId="1" fillId="0" borderId="5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202" fontId="7" fillId="0" borderId="5" xfId="0" applyNumberFormat="1" applyFont="1" applyFill="1" applyBorder="1" applyAlignment="1">
      <x:alignment horizontal="right" vertical="center"/>
    </x:xf>
    <x:xf numFmtId="202" fontId="7" fillId="6" borderId="5" xfId="0" applyNumberFormat="1" applyFont="1" applyFill="1" applyBorder="1" applyAlignment="1">
      <x:alignment horizontal="right" vertical="center"/>
    </x:xf>
    <x:xf numFmtId="203" fontId="7" fillId="6" borderId="5" xfId="0" applyNumberFormat="1" applyFont="1" applyFill="1" applyBorder="1" applyAlignment="1">
      <x:alignment horizontal="right" vertical="center"/>
    </x:xf>
    <x:xf numFmtId="202" fontId="7" fillId="7" borderId="5" xfId="0" applyNumberFormat="1" applyFont="1" applyFill="1" applyBorder="1" applyAlignment="1">
      <x:alignment horizontal="right" vertical="center"/>
    </x:xf>
    <x:xf numFmtId="202" fontId="7" fillId="8" borderId="5" xfId="0" applyNumberFormat="1" applyFont="1" applyFill="1" applyBorder="1" applyAlignment="1">
      <x:alignment horizontal="right" vertical="center"/>
    </x:xf>
    <x:xf numFmtId="0" fontId="1" fillId="9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vertical="center"/>
    </x:xf>
    <x:xf numFmtId="202" fontId="16" fillId="3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0"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ont>
        <x:b/>
        <x:color rgb="FF17613D"/>
      </x:font>
      <x:fill>
        <x:patternFill patternType="solid">
          <x:bgColor rgb="FFE8F4EC"/>
        </x:patternFill>
      </x:fill>
    </x:dxf>
    <x:dxf>
      <x:font>
        <x:b/>
        <x:color rgb="FF875800"/>
      </x:font>
      <x:fill>
        <x:patternFill patternType="solid">
          <x:bgColor rgb="FFFFF1CC"/>
        </x:patternFill>
      </x:fill>
    </x:dxf>
    <x:dxf>
      <x:font>
        <x:b/>
        <x:color rgb="FF526176"/>
      </x:font>
      <x:fill>
        <x:patternFill patternType="solid">
          <x:bgColor rgb="FFF3F5F8"/>
        </x:patternFill>
      </x:fill>
    </x:dxf>
    <x:dxf>
      <x:font>
        <x:b/>
        <x:color rgb="FFA23636"/>
      </x:font>
      <x:fill>
        <x:patternFill patternType="solid">
          <x:bgColor rgb="FFFBEAEA"/>
        </x:patternFill>
      </x:fill>
    </x:dxf>
    <x:dxf>
      <x:font>
        <x:b/>
        <x:color rgb="FF17613D"/>
      </x:font>
      <x:fill>
        <x:patternFill patternType="solid">
          <x:bgColor rgb="FFE8F4EC"/>
        </x:patternFill>
      </x:fill>
    </x:dxf>
    <x:dxf>
      <x:font>
        <x:b/>
        <x:color rgb="FF17613D"/>
      </x:font>
      <x:fill>
        <x:patternFill patternType="solid">
          <x:bgColor rgb="FFE8F4EC"/>
        </x:patternFill>
      </x:fill>
    </x:dxf>
    <x:dxf>
      <x:font>
        <x:color rgb="FF875800"/>
      </x:font>
      <x:fill>
        <x:patternFill patternType="solid">
          <x:bgColor rgb="FFFFF1CC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ont>
        <x:b/>
        <x:color rgb="FF17613D"/>
      </x:font>
      <x:fill>
        <x:patternFill patternType="solid">
          <x:bgColor rgb="FFE8F4EC"/>
        </x:patternFill>
      </x:fill>
    </x:dxf>
    <x:dxf>
      <x:font>
        <x:b/>
        <x:color rgb="FFA23636"/>
      </x:font>
      <x:fill>
        <x:patternFill patternType="solid">
          <x:bgColor rgb="FFFBEAEA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ont>
        <x:b/>
        <x:color rgb="FF875800"/>
      </x:font>
      <x:fill>
        <x:patternFill patternType="solid">
          <x:bgColor rgb="FFFFF1CC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  <x:dxf>
      <x:fill>
        <x:patternFill patternType="solid">
          <x:bgColor rgb="FFF4F7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3e28caa074d7a" /><Relationship Type="http://schemas.openxmlformats.org/officeDocument/2006/relationships/theme" Target="/xl/theme/theme1.xml" Id="R70096578d4824093" /><Relationship Type="http://schemas.openxmlformats.org/officeDocument/2006/relationships/sharedStrings" Target="/xl/sharedStrings.xml" Id="Recb3ca0b147f47a9" /><Relationship Type="http://schemas.openxmlformats.org/officeDocument/2006/relationships/worksheet" Target="/xl/worksheets/sheet1.xml" Id="R58c9ce0913874d35" /><Relationship Type="http://schemas.openxmlformats.org/officeDocument/2006/relationships/worksheet" Target="/xl/worksheets/sheet2.xml" Id="Re81c80f9f89946a6" /></Relationships>
</file>

<file path=xl/tables/table1.xml><?xml version="1.0" encoding="utf-8"?>
<x:table xmlns:x="http://schemas.openxmlformats.org/spreadsheetml/2006/main" id="2" name="FinanceHistoricalStatusSummary" displayName="FinanceHistoricalStatusSummary" ref="A6:H9" headerRowCount="1" totalsRowCount="0" totalsRowShown="0">
  <x:autoFilter ref="A6:H9"/>
  <x:tableColumns count="8">
    <x:tableColumn id="1" name="Class of"/>
    <x:tableColumn id="2" name="Students"/>
    <x:tableColumn id="3" name="Students placed"/>
    <x:tableColumn id="4" name="Placement rate"/>
    <x:tableColumn id="5" name="Actively Seeking"/>
    <x:tableColumn id="6" name="Not Seeking"/>
    <x:tableColumn id="7" name="no status"/>
    <x:tableColumn id="8" name="Change vs prior class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3" name="FinanceHistoricalCoverage" displayName="FinanceHistoricalCoverage" ref="A15:H18" headerRowCount="1" totalsRowCount="0" totalsRowShown="0">
  <x:autoFilter ref="A15:H18"/>
  <x:tableColumns count="8">
    <x:tableColumn id="1" name="Class of"/>
    <x:tableColumn id="2" name="Internship recorded"/>
    <x:tableColumn id="3" name="Internship coverage"/>
    <x:tableColumn id="4" name="No internship reported"/>
    <x:tableColumn id="5" name="FT offer recorded"/>
    <x:tableColumn id="6" name="Accepted FT record"/>
    <x:tableColumn id="7" name="Accepted employer unreported"/>
    <x:tableColumn id="8" name="Actual graduation unreported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4" name="FinanceInternshipEmployerCounts" displayName="FinanceInternshipEmployerCounts" ref="A25:C28" headerRowCount="1" totalsRowCount="0" totalsRowShown="0">
  <x:autoFilter ref="A25:C28"/>
  <x:tableColumns count="3">
    <x:tableColumn id="1" name="Class of"/>
    <x:tableColumn id="2" name="Students offered FT by internship employer"/>
    <x:tableColumn id="3" name="Students accepting FT from internship employer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1" name="FinanceHistoricalStudents" displayName="FinanceHistoricalStudents" ref="A6:L11" headerRowCount="1" totalsRowCount="0" totalsRowShown="0">
  <x:autoFilter ref="A6:L11"/>
  <x:tableColumns count="12">
    <x:tableColumn id="1" name="Class of"/>
    <x:tableColumn id="2" name="NetID"/>
    <x:tableColumn id="3" name="First name"/>
    <x:tableColumn id="4" name="Last name"/>
    <x:tableColumn id="5" name="Placement Status"/>
    <x:tableColumn id="6" name="Accepted full-time Company"/>
    <x:tableColumn id="7" name="Recorded internship companies"/>
    <x:tableColumn id="8" name="Recorded full-time offer companies"/>
    <x:tableColumn id="9" name="Internship employer offered FT"/>
    <x:tableColumn id="10" name="Internship employer offer accepted"/>
    <x:tableColumn id="11" name="Actual graduation semester"/>
    <x:tableColumn id="12" name="Items to confirm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bfd7381df34fd4" /><Relationship Type="http://schemas.openxmlformats.org/officeDocument/2006/relationships/table" Target="/xl/tables/table2.xml" Id="R7136b776ed5a4d7d" /><Relationship Type="http://schemas.openxmlformats.org/officeDocument/2006/relationships/table" Target="/xl/tables/table3.xml" Id="Rc4bd7fde66d34b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26984b5a7d0e4127" /></Relationships>
</file>

<file path=xl/worksheets/sheet1.xml><?xml version="1.0" encoding="utf-8"?>
<x:worksheet xmlns:x="http://schemas.openxmlformats.org/spreadsheetml/2006/main">
  <x:sheetPr>
    <x:tabColor rgb="FF002E5D"/>
  </x:sheetPr>
  <x:sheetViews>
    <x:sheetView showGridLines="0" workbookViewId="0"/>
  </x:sheetViews>
  <x:sheetFormatPr defaultRowHeight="15"/>
  <x:cols>
    <x:col min="1" max="1" width="12.779999732971191" hidden="0" customWidth="1"/>
    <x:col min="2" max="2" width="13.5600004196167" hidden="0" customWidth="1"/>
    <x:col min="3" max="3" width="13.5600004196167" hidden="0" customWidth="1"/>
    <x:col min="4" max="4" width="15" hidden="0" customWidth="1"/>
    <x:col min="5" max="5" width="15" hidden="0" customWidth="1"/>
    <x:col min="6" max="6" width="14" hidden="0" customWidth="1"/>
    <x:col min="7" max="7" width="13.109999656677246" hidden="0" customWidth="1"/>
    <x:col min="8" max="8" width="16.110000610351562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</x:row>
    <x:row r="2" ht="34" customHeight="1">
      <x:c r="A2" s="4" t="str">
        <x:v>Finance placement statistics</x:v>
      </x:c>
      <x:c r="B2" s="4"/>
      <x:c r="C2" s="4"/>
      <x:c r="D2" s="4"/>
      <x:c r="E2" s="4"/>
      <x:c r="F2" s="4"/>
      <x:c r="G2" s="4"/>
      <x:c r="H2" s="4"/>
    </x:row>
    <x:row r="3" ht="25" customHeight="1">
      <x:c r="A3" s="5" t="str">
        <x:v>Classes of 2024, 2025, 2026 only • As of September 30, 2026</x:v>
      </x:c>
      <x:c r="B3" s="5"/>
      <x:c r="C3" s="5"/>
      <x:c r="D3" s="5"/>
      <x:c r="E3" s="5"/>
      <x:c r="F3" s="5"/>
      <x:c r="G3" s="5"/>
      <x:c r="H3" s="5"/>
    </x:row>
    <x:row r="4" ht="25" customHeight="1">
      <x:c r="A4" s="33" t="str">
        <x:v>Placed = Accepted Offer status. Placement rate = placed students ÷ all students in the class.</x:v>
      </x:c>
      <x:c r="B4" s="2"/>
      <x:c r="C4" s="2"/>
      <x:c r="D4" s="2"/>
      <x:c r="E4" s="2"/>
      <x:c r="F4" s="2"/>
      <x:c r="G4" s="2"/>
      <x:c r="H4" s="2"/>
    </x:row>
    <x:row r="5" ht="25" customHeight="1">
      <x:c r="A5" s="2"/>
      <x:c r="B5" s="2"/>
      <x:c r="C5" s="2"/>
      <x:c r="D5" s="2"/>
      <x:c r="E5" s="2"/>
      <x:c r="F5" s="2"/>
      <x:c r="G5" s="2"/>
      <x:c r="H5" s="2"/>
    </x:row>
    <x:row r="6" ht="48" customHeight="1">
      <x:c r="A6" s="15" t="str">
        <x:v>Class of</x:v>
      </x:c>
      <x:c r="B6" s="16" t="str">
        <x:v>Students</x:v>
      </x:c>
      <x:c r="C6" s="29" t="str">
        <x:v>Students placed</x:v>
      </x:c>
      <x:c r="D6" s="29" t="str">
        <x:v>Placement rate</x:v>
      </x:c>
      <x:c r="E6" s="16" t="str">
        <x:v>Actively Seeking</x:v>
      </x:c>
      <x:c r="F6" s="16" t="str">
        <x:v>Not Seeking</x:v>
      </x:c>
      <x:c r="G6" s="16" t="str">
        <x:v>no status</x:v>
      </x:c>
      <x:c r="H6" s="17" t="str">
        <x:v>Change vs prior class</x:v>
      </x:c>
    </x:row>
    <x:row r="7" ht="28" customHeight="1">
      <x:c r="A7" s="42" t="n">
        <x:v>2024</x:v>
      </x:c>
      <x:c r="B7" s="36" t="n">
        <x:f>COUNTIFS('Student Detail'!$A$7:$A$11,$A7)</x:f>
        <x:v>2</x:v>
      </x:c>
      <x:c r="C7" s="48" t="n">
        <x:f>COUNTIFS('Student Detail'!$A$7:$A$11,$A7,'Student Detail'!$E$7:$E$11,"Accepted Offer")</x:f>
        <x:v>1</x:v>
      </x:c>
      <x:c r="D7" s="49" t="n">
        <x:f>IF(B7=0,"—",C7/B7)</x:f>
        <x:v>0.5</x:v>
      </x:c>
      <x:c r="E7" s="54" t="n">
        <x:f>COUNTIFS('Student Detail'!$A$7:$A$11,$A7,'Student Detail'!$E$7:$E$11,"Actively Seeking")</x:f>
        <x:v>0</x:v>
      </x:c>
      <x:c r="F7" s="36" t="n">
        <x:f>COUNTIFS('Student Detail'!$A$7:$A$11,$A7,'Student Detail'!$E$7:$E$11,"Not Seeking")</x:f>
        <x:v>1</x:v>
      </x:c>
      <x:c r="G7" s="58" t="n">
        <x:f>COUNTIFS('Student Detail'!$A$7:$A$11,$A7,'Student Detail'!$E$7:$E$11,"no status")</x:f>
        <x:v>0</x:v>
      </x:c>
      <x:c r="H7" s="20" t="str">
        <x:f>"—"</x:f>
        <x:v>—</x:v>
      </x:c>
    </x:row>
    <x:row r="8" ht="28" customHeight="1">
      <x:c r="A8" s="42" t="n">
        <x:v>2025</x:v>
      </x:c>
      <x:c r="B8" s="36" t="n">
        <x:f>COUNTIFS('Student Detail'!$A$7:$A$11,$A8)</x:f>
        <x:v>0</x:v>
      </x:c>
      <x:c r="C8" s="48" t="n">
        <x:f>COUNTIFS('Student Detail'!$A$7:$A$11,$A8,'Student Detail'!$E$7:$E$11,"Accepted Offer")</x:f>
        <x:v>0</x:v>
      </x:c>
      <x:c r="D8" s="49" t="str">
        <x:f>IF(B8=0,"—",C8/B8)</x:f>
        <x:v>—</x:v>
      </x:c>
      <x:c r="E8" s="54" t="n">
        <x:f>COUNTIFS('Student Detail'!$A$7:$A$11,$A8,'Student Detail'!$E$7:$E$11,"Actively Seeking")</x:f>
        <x:v>0</x:v>
      </x:c>
      <x:c r="F8" s="36" t="n">
        <x:f>COUNTIFS('Student Detail'!$A$7:$A$11,$A8,'Student Detail'!$E$7:$E$11,"Not Seeking")</x:f>
        <x:v>0</x:v>
      </x:c>
      <x:c r="G8" s="58" t="n">
        <x:f>COUNTIFS('Student Detail'!$A$7:$A$11,$A8,'Student Detail'!$E$7:$E$11,"no status")</x:f>
        <x:v>0</x:v>
      </x:c>
      <x:c r="H8" s="41" t="str">
        <x:f>IF(AND(ISNUMBER(D8),ISNUMBER(D7)),(D8-D7)*100,"—")</x:f>
        <x:v>—</x:v>
      </x:c>
    </x:row>
    <x:row r="9" ht="28" customHeight="1">
      <x:c r="A9" s="42" t="n">
        <x:v>2026</x:v>
      </x:c>
      <x:c r="B9" s="36" t="n">
        <x:f>COUNTIFS('Student Detail'!$A$7:$A$11,$A9)</x:f>
        <x:v>3</x:v>
      </x:c>
      <x:c r="C9" s="48" t="n">
        <x:f>COUNTIFS('Student Detail'!$A$7:$A$11,$A9,'Student Detail'!$E$7:$E$11,"Accepted Offer")</x:f>
        <x:v>2</x:v>
      </x:c>
      <x:c r="D9" s="49" t="n">
        <x:f>IF(B9=0,"—",C9/B9)</x:f>
        <x:v>0.6666666666666666</x:v>
      </x:c>
      <x:c r="E9" s="54" t="n">
        <x:f>COUNTIFS('Student Detail'!$A$7:$A$11,$A9,'Student Detail'!$E$7:$E$11,"Actively Seeking")</x:f>
        <x:v>1</x:v>
      </x:c>
      <x:c r="F9" s="36" t="n">
        <x:f>COUNTIFS('Student Detail'!$A$7:$A$11,$A9,'Student Detail'!$E$7:$E$11,"Not Seeking")</x:f>
        <x:v>0</x:v>
      </x:c>
      <x:c r="G9" s="58" t="n">
        <x:f>COUNTIFS('Student Detail'!$A$7:$A$11,$A9,'Student Detail'!$E$7:$E$11,"no status")</x:f>
        <x:v>0</x:v>
      </x:c>
      <x:c r="H9" s="41" t="str">
        <x:f>IF(AND(ISNUMBER(D9),ISNUMBER(D8)),(D9-D8)*100,"—")</x:f>
        <x:v>—</x:v>
      </x:c>
    </x:row>
    <x:row r="10" ht="36" customHeight="1">
      <x:c r="A10" s="67" t="str">
        <x:v>All three classes</x:v>
      </x:c>
      <x:c r="B10" s="68" t="n">
        <x:f>SUM(B7:B9)</x:f>
        <x:v>5</x:v>
      </x:c>
      <x:c r="C10" s="69" t="n">
        <x:f>SUM(C7:C9)</x:f>
        <x:v>3</x:v>
      </x:c>
      <x:c r="D10" s="70" t="n">
        <x:f>IF(B10=0,"—",C10/B10)</x:f>
        <x:v>0.6</x:v>
      </x:c>
      <x:c r="E10" s="71" t="n">
        <x:f>SUM(E7:E9)</x:f>
        <x:v>1</x:v>
      </x:c>
      <x:c r="F10" s="68" t="n">
        <x:f>SUM(F7:F9)</x:f>
        <x:v>1</x:v>
      </x:c>
      <x:c r="G10" s="72" t="n">
        <x:f>SUM(G7:G9)</x:f>
        <x:v>0</x:v>
      </x:c>
      <x:c r="H10" s="67"/>
    </x:row>
    <x:row r="11" ht="25" customHeight="1">
      <x:c r="A11" s="2"/>
      <x:c r="B11" s="2"/>
      <x:c r="C11" s="2"/>
      <x:c r="D11" s="2"/>
      <x:c r="E11" s="2"/>
      <x:c r="F11" s="2"/>
      <x:c r="G11" s="2"/>
      <x:c r="H11" s="2"/>
    </x:row>
    <x:row r="12" ht="25" customHeight="1">
      <x:c r="A12" s="2"/>
      <x:c r="B12" s="2"/>
      <x:c r="C12" s="2"/>
      <x:c r="D12" s="2"/>
      <x:c r="E12" s="2"/>
      <x:c r="F12" s="2"/>
      <x:c r="G12" s="2"/>
      <x:c r="H12" s="2"/>
    </x:row>
    <x:row r="13" ht="29" customHeight="1">
      <x:c r="A13" s="74" t="str">
        <x:v>Internship and placement information</x:v>
      </x:c>
      <x:c r="B13" s="74"/>
      <x:c r="C13" s="74"/>
      <x:c r="D13" s="74"/>
      <x:c r="E13" s="74"/>
      <x:c r="F13" s="74"/>
      <x:c r="G13" s="74"/>
      <x:c r="H13" s="74"/>
    </x:row>
    <x:row r="14" ht="25" customHeight="1">
      <x:c r="A14" s="2"/>
      <x:c r="B14" s="2"/>
      <x:c r="C14" s="2"/>
      <x:c r="D14" s="2"/>
      <x:c r="E14" s="2"/>
      <x:c r="F14" s="2"/>
      <x:c r="G14" s="2"/>
      <x:c r="H14" s="2"/>
    </x:row>
    <x:row r="15" ht="58" customHeight="1">
      <x:c r="A15" s="15" t="str">
        <x:v>Class of</x:v>
      </x:c>
      <x:c r="B15" s="16" t="str">
        <x:v>Internship recorded</x:v>
      </x:c>
      <x:c r="C15" s="16" t="str">
        <x:v>Internship coverage</x:v>
      </x:c>
      <x:c r="D15" s="16" t="str">
        <x:v>No internship reported</x:v>
      </x:c>
      <x:c r="E15" s="16" t="str">
        <x:v>FT offer recorded</x:v>
      </x:c>
      <x:c r="F15" s="16" t="str">
        <x:v>Accepted FT record</x:v>
      </x:c>
      <x:c r="G15" s="16" t="str">
        <x:v>Accepted employer unreported</x:v>
      </x:c>
      <x:c r="H15" s="17" t="str">
        <x:v>Actual graduation unreported</x:v>
      </x:c>
    </x:row>
    <x:row r="16" ht="28" customHeight="1">
      <x:c r="A16" s="20" t="n">
        <x:v>2024</x:v>
      </x:c>
      <x:c r="B16" s="36" t="n">
        <x:f>SUMPRODUCT(('Student Detail'!$A$7:$A$11=$A16)*('Student Detail'!$G$7:$G$11&lt;&gt;""))</x:f>
        <x:v>1</x:v>
      </x:c>
      <x:c r="C16" s="38" t="n">
        <x:f>IF(B7=0,"—",B16/B7)</x:f>
        <x:v>0.5</x:v>
      </x:c>
      <x:c r="D16" s="36" t="n">
        <x:f>B7-B16</x:f>
        <x:v>1</x:v>
      </x:c>
      <x:c r="E16" s="36" t="n">
        <x:f>SUMPRODUCT(('Student Detail'!$A$7:$A$11=$A16)*('Student Detail'!$H$7:$H$11&lt;&gt;""))</x:f>
        <x:v>1</x:v>
      </x:c>
      <x:c r="F16" s="36" t="n">
        <x:f>SUMPRODUCT(('Student Detail'!$A$7:$A$11=$A16)*('Student Detail'!$F$7:$F$11&lt;&gt;""))</x:f>
        <x:v>1</x:v>
      </x:c>
      <x:c r="G16" s="36" t="n">
        <x:f>C7-SUMPRODUCT(('Student Detail'!$A$7:$A$11=$A16)*('Student Detail'!$E$7:$E$11="Accepted Offer")*('Student Detail'!$F$7:$F$11&lt;&gt;"")*('Student Detail'!$F$7:$F$11&lt;&gt;"Not reported / verify"))</x:f>
        <x:v>0</x:v>
      </x:c>
      <x:c r="H16" s="36" t="n">
        <x:f>B7-SUMPRODUCT(('Student Detail'!$A$7:$A$11=$A16)*('Student Detail'!$K$7:$K$11&lt;&gt;""))</x:f>
        <x:v>0</x:v>
      </x:c>
    </x:row>
    <x:row r="17" ht="28" customHeight="1">
      <x:c r="A17" s="20" t="n">
        <x:v>2025</x:v>
      </x:c>
      <x:c r="B17" s="36" t="n">
        <x:f>SUMPRODUCT(('Student Detail'!$A$7:$A$11=$A17)*('Student Detail'!$G$7:$G$11&lt;&gt;""))</x:f>
        <x:v>0</x:v>
      </x:c>
      <x:c r="C17" s="38" t="str">
        <x:f>IF(B8=0,"—",B17/B8)</x:f>
        <x:v>—</x:v>
      </x:c>
      <x:c r="D17" s="36" t="n">
        <x:f>B8-B17</x:f>
        <x:v>0</x:v>
      </x:c>
      <x:c r="E17" s="36" t="n">
        <x:f>SUMPRODUCT(('Student Detail'!$A$7:$A$11=$A17)*('Student Detail'!$H$7:$H$11&lt;&gt;""))</x:f>
        <x:v>0</x:v>
      </x:c>
      <x:c r="F17" s="36" t="n">
        <x:f>SUMPRODUCT(('Student Detail'!$A$7:$A$11=$A17)*('Student Detail'!$F$7:$F$11&lt;&gt;""))</x:f>
        <x:v>0</x:v>
      </x:c>
      <x:c r="G17" s="36" t="n">
        <x:f>C8-SUMPRODUCT(('Student Detail'!$A$7:$A$11=$A17)*('Student Detail'!$E$7:$E$11="Accepted Offer")*('Student Detail'!$F$7:$F$11&lt;&gt;"")*('Student Detail'!$F$7:$F$11&lt;&gt;"Not reported / verify"))</x:f>
        <x:v>0</x:v>
      </x:c>
      <x:c r="H17" s="36" t="n">
        <x:f>B8-SUMPRODUCT(('Student Detail'!$A$7:$A$11=$A17)*('Student Detail'!$K$7:$K$11&lt;&gt;""))</x:f>
        <x:v>0</x:v>
      </x:c>
    </x:row>
    <x:row r="18" ht="28" customHeight="1">
      <x:c r="A18" s="20" t="n">
        <x:v>2026</x:v>
      </x:c>
      <x:c r="B18" s="36" t="n">
        <x:f>SUMPRODUCT(('Student Detail'!$A$7:$A$11=$A18)*('Student Detail'!$G$7:$G$11&lt;&gt;""))</x:f>
        <x:v>2</x:v>
      </x:c>
      <x:c r="C18" s="38" t="n">
        <x:f>IF(B9=0,"—",B18/B9)</x:f>
        <x:v>0.6666666666666666</x:v>
      </x:c>
      <x:c r="D18" s="36" t="n">
        <x:f>B9-B18</x:f>
        <x:v>1</x:v>
      </x:c>
      <x:c r="E18" s="36" t="n">
        <x:f>SUMPRODUCT(('Student Detail'!$A$7:$A$11=$A18)*('Student Detail'!$H$7:$H$11&lt;&gt;""))</x:f>
        <x:v>2</x:v>
      </x:c>
      <x:c r="F18" s="36" t="n">
        <x:f>SUMPRODUCT(('Student Detail'!$A$7:$A$11=$A18)*('Student Detail'!$F$7:$F$11&lt;&gt;""))</x:f>
        <x:v>1</x:v>
      </x:c>
      <x:c r="G18" s="36" t="n">
        <x:f>C9-SUMPRODUCT(('Student Detail'!$A$7:$A$11=$A18)*('Student Detail'!$E$7:$E$11="Accepted Offer")*('Student Detail'!$F$7:$F$11&lt;&gt;"")*('Student Detail'!$F$7:$F$11&lt;&gt;"Not reported / verify"))</x:f>
        <x:v>1</x:v>
      </x:c>
      <x:c r="H18" s="36" t="n">
        <x:f>B9-SUMPRODUCT(('Student Detail'!$A$7:$A$11=$A18)*('Student Detail'!$K$7:$K$11&lt;&gt;""))</x:f>
        <x:v>1</x:v>
      </x:c>
    </x:row>
    <x:row r="19" ht="25" customHeight="1">
      <x:c r="A19" s="2"/>
      <x:c r="B19" s="2"/>
      <x:c r="C19" s="2"/>
      <x:c r="D19" s="2"/>
      <x:c r="E19" s="2"/>
      <x:c r="F19" s="2"/>
      <x:c r="G19" s="2"/>
      <x:c r="H19" s="2"/>
    </x:row>
    <x:row r="20" ht="25" customHeight="1">
      <x:c r="A20" s="6" t="str">
        <x:v>FT offer recorded includes declined offers. Accepted FT records can differ from the student’s current status.</x:v>
      </x:c>
      <x:c r="B20" s="2"/>
      <x:c r="C20" s="2"/>
      <x:c r="D20" s="2"/>
      <x:c r="E20" s="2"/>
      <x:c r="F20" s="2"/>
      <x:c r="G20" s="2"/>
      <x:c r="H20" s="2"/>
    </x:row>
    <x:row r="21" ht="25" customHeight="1">
      <x:c r="A21" s="2"/>
      <x:c r="B21" s="2"/>
      <x:c r="C21" s="2"/>
      <x:c r="D21" s="2"/>
      <x:c r="E21" s="2"/>
      <x:c r="F21" s="2"/>
      <x:c r="G21" s="2"/>
      <x:c r="H21" s="2"/>
    </x:row>
    <x:row r="22" ht="25" customHeight="1">
      <x:c r="A22" s="2"/>
      <x:c r="B22" s="2"/>
      <x:c r="C22" s="2"/>
      <x:c r="D22" s="2"/>
      <x:c r="E22" s="2"/>
      <x:c r="F22" s="2"/>
      <x:c r="G22" s="2"/>
      <x:c r="H22" s="2"/>
    </x:row>
    <x:row r="23" ht="29" customHeight="1">
      <x:c r="A23" s="74" t="str">
        <x:v>Internship-employer full-time offers — student counts</x:v>
      </x:c>
      <x:c r="B23" s="74"/>
      <x:c r="C23" s="74"/>
      <x:c r="D23" s="74"/>
      <x:c r="E23" s="74"/>
      <x:c r="F23" s="74"/>
      <x:c r="G23" s="74"/>
      <x:c r="H23" s="74"/>
    </x:row>
    <x:row r="24" ht="25" customHeight="1">
      <x:c r="A24" s="2"/>
      <x:c r="B24" s="2"/>
      <x:c r="C24" s="2"/>
      <x:c r="D24" s="2"/>
      <x:c r="E24" s="2"/>
      <x:c r="F24" s="2"/>
      <x:c r="G24" s="2"/>
      <x:c r="H24" s="2"/>
    </x:row>
    <x:row r="25" ht="70" customHeight="1">
      <x:c r="A25" s="15" t="str">
        <x:v>Class of</x:v>
      </x:c>
      <x:c r="B25" s="16" t="str">
        <x:v>Students offered FT by internship employer</x:v>
      </x:c>
      <x:c r="C25" s="17" t="str">
        <x:v>Students accepting FT from internship employer</x:v>
      </x:c>
      <x:c r="D25" s="2"/>
      <x:c r="E25" s="77" t="str">
        <x:v>Employer matches do not establish that an offer was a direct internship return offer.</x:v>
      </x:c>
      <x:c r="F25" s="77"/>
      <x:c r="G25" s="77"/>
      <x:c r="H25" s="77"/>
    </x:row>
    <x:row r="26" ht="31" customHeight="1">
      <x:c r="A26" s="20" t="n">
        <x:v>2024</x:v>
      </x:c>
      <x:c r="B26" s="75" t="n">
        <x:f>COUNTIFS('Student Detail'!$A$7:$A$11,$A26,'Student Detail'!$I$7:$I$11,"Yes")</x:f>
        <x:v>1</x:v>
      </x:c>
      <x:c r="C26" s="75" t="n">
        <x:f>COUNTIFS('Student Detail'!$A$7:$A$11,$A26,'Student Detail'!$J$7:$J$11,"Yes")</x:f>
        <x:v>1</x:v>
      </x:c>
      <x:c r="D26" s="2"/>
      <x:c r="E26" s="77"/>
      <x:c r="F26" s="77"/>
      <x:c r="G26" s="77"/>
      <x:c r="H26" s="77"/>
    </x:row>
    <x:row r="27" ht="31" customHeight="1">
      <x:c r="A27" s="20" t="n">
        <x:v>2025</x:v>
      </x:c>
      <x:c r="B27" s="75" t="n">
        <x:f>COUNTIFS('Student Detail'!$A$7:$A$11,$A27,'Student Detail'!$I$7:$I$11,"Yes")</x:f>
        <x:v>0</x:v>
      </x:c>
      <x:c r="C27" s="75" t="n">
        <x:f>COUNTIFS('Student Detail'!$A$7:$A$11,$A27,'Student Detail'!$J$7:$J$11,"Yes")</x:f>
        <x:v>0</x:v>
      </x:c>
      <x:c r="D27" s="2"/>
      <x:c r="E27" s="77" t="str">
        <x:v>Each student counts once. Match any internship to any FT offer by Company ID; use an exact normalized name only when an ID is missing.</x:v>
      </x:c>
      <x:c r="F27" s="77"/>
      <x:c r="G27" s="77"/>
      <x:c r="H27" s="77"/>
    </x:row>
    <x:row r="28" ht="31" customHeight="1">
      <x:c r="A28" s="20" t="n">
        <x:v>2026</x:v>
      </x:c>
      <x:c r="B28" s="75" t="n">
        <x:f>COUNTIFS('Student Detail'!$A$7:$A$11,$A28,'Student Detail'!$I$7:$I$11,"Yes")</x:f>
        <x:v>1</x:v>
      </x:c>
      <x:c r="C28" s="75" t="n">
        <x:f>COUNTIFS('Student Detail'!$A$7:$A$11,$A28,'Student Detail'!$J$7:$J$11,"Yes")</x:f>
        <x:v>0</x:v>
      </x:c>
      <x:c r="D28" s="2"/>
      <x:c r="E28" s="77"/>
      <x:c r="F28" s="77"/>
      <x:c r="G28" s="77"/>
      <x:c r="H28" s="77"/>
    </x:row>
    <x:row r="29" ht="25" customHeight="1">
      <x:c r="A29" s="2"/>
      <x:c r="B29" s="2"/>
      <x:c r="C29" s="2"/>
      <x:c r="D29" s="2"/>
      <x:c r="E29" s="2"/>
      <x:c r="F29" s="2"/>
      <x:c r="G29" s="2"/>
      <x:c r="H29" s="2"/>
    </x:row>
    <x:row r="30" ht="25" customHeight="1">
      <x:c r="A30" s="2"/>
      <x:c r="B30" s="2"/>
      <x:c r="C30" s="2"/>
      <x:c r="D30" s="2"/>
      <x:c r="E30" s="2"/>
      <x:c r="F30" s="2"/>
      <x:c r="G30" s="2"/>
      <x:c r="H30" s="2"/>
    </x:row>
    <x:row r="31" ht="25" customHeight="1">
      <x:c r="A31" s="6" t="str">
        <x:v>Class of follows the CRM academic cohort, including prior-calendar-year Fall graduates.</x:v>
      </x:c>
      <x:c r="B31" s="2"/>
      <x:c r="C31" s="2"/>
      <x:c r="D31" s="2"/>
      <x:c r="E31" s="2"/>
      <x:c r="F31" s="2"/>
      <x:c r="G31" s="2"/>
      <x:c r="H31" s="2"/>
    </x:row>
    <x:row r="32" ht="25" customHeight="1">
      <x:c r="A32" s="6" t="str">
        <x:v>Missing actual graduation remains in the assigned class and is flagged in Student Detail.</x:v>
      </x:c>
      <x:c r="B32" s="2"/>
      <x:c r="C32" s="2"/>
      <x:c r="D32" s="2"/>
      <x:c r="E32" s="2"/>
      <x:c r="F32" s="2"/>
      <x:c r="G32" s="2"/>
      <x:c r="H32" s="2"/>
    </x:row>
    <x:row r="33" ht="25" customHeight="1">
      <x:c r="A33" s="6" t="str">
        <x:v>Missing or reversed match dates remain in the employer counts; review flags identify these records.</x:v>
      </x:c>
      <x:c r="B33" s="2"/>
      <x:c r="C33" s="2"/>
      <x:c r="D33" s="2"/>
      <x:c r="E33" s="2"/>
      <x:c r="F33" s="2"/>
      <x:c r="G33" s="2"/>
      <x:c r="H33" s="2"/>
    </x:row>
    <x:row r="34" ht="25" customHeight="1">
      <x:c r="A34" s="2"/>
      <x:c r="B34" s="2"/>
      <x:c r="C34" s="2"/>
      <x:c r="D34" s="2"/>
      <x:c r="E34" s="2"/>
      <x:c r="F34" s="2"/>
      <x:c r="G34" s="2"/>
      <x:c r="H34" s="2"/>
    </x:row>
    <x:row r="35" ht="25" customHeight="1">
      <x:c r="A35" s="6" t="str">
        <x:v>All percentages use the full class as denominator; no status remains included in the population.</x:v>
      </x:c>
      <x:c r="B35" s="2"/>
      <x:c r="C35" s="2"/>
      <x:c r="D35" s="2"/>
      <x:c r="E35" s="2"/>
      <x:c r="F35" s="2"/>
      <x:c r="G35" s="2"/>
      <x:c r="H35" s="2"/>
    </x:row>
    <x:row r="36" ht="25" customHeight="1">
      <x:c r="A36" s="2"/>
      <x:c r="B36" s="2"/>
      <x:c r="C36" s="2"/>
      <x:c r="D36" s="2"/>
      <x:c r="E36" s="2"/>
      <x:c r="F36" s="2"/>
      <x:c r="G36" s="2"/>
      <x:c r="H36" s="2"/>
    </x:row>
    <x:row r="37" ht="25" customHeight="1">
      <x:c r="A37" s="2"/>
      <x:c r="B37" s="2"/>
      <x:c r="C37" s="2"/>
      <x:c r="D37" s="2"/>
      <x:c r="E37" s="2"/>
      <x:c r="F37" s="2"/>
      <x:c r="G37" s="2"/>
      <x:c r="H37" s="2"/>
    </x:row>
  </x:sheetData>
  <x:mergeCells>
    <x:mergeCell ref="E25:H26"/>
    <x:mergeCell ref="E27:H28"/>
  </x:mergeCells>
  <x:conditionalFormatting sqref="A7:A9">
    <x:cfRule type="expression" dxfId="15" priority="1">
      <x:formula>MOD(ROW()-7,2)=0</x:formula>
    </x:cfRule>
  </x:conditionalFormatting>
  <x:conditionalFormatting sqref="B7:B9">
    <x:cfRule type="expression" dxfId="16" priority="2">
      <x:formula>MOD(ROW()-7,2)=0</x:formula>
    </x:cfRule>
  </x:conditionalFormatting>
  <x:conditionalFormatting sqref="F7:F9">
    <x:cfRule type="expression" dxfId="17" priority="3">
      <x:formula>MOD(ROW()-7,2)=0</x:formula>
    </x:cfRule>
  </x:conditionalFormatting>
  <x:conditionalFormatting sqref="H8:H9">
    <x:cfRule type="expression" dxfId="18" priority="4">
      <x:formula>H8&gt;0</x:formula>
    </x:cfRule>
    <x:cfRule type="expression" dxfId="19" priority="5">
      <x:formula>H8&lt;0</x:formula>
    </x:cfRule>
  </x:conditionalFormatting>
  <x:conditionalFormatting sqref="A16:A18">
    <x:cfRule type="expression" dxfId="20" priority="6">
      <x:formula>MOD(ROW()-16,2)=0</x:formula>
    </x:cfRule>
  </x:conditionalFormatting>
  <x:conditionalFormatting sqref="B16:B18">
    <x:cfRule type="expression" dxfId="21" priority="7">
      <x:formula>MOD(ROW()-16,2)=0</x:formula>
    </x:cfRule>
  </x:conditionalFormatting>
  <x:conditionalFormatting sqref="C16:C18">
    <x:cfRule type="expression" dxfId="22" priority="8">
      <x:formula>MOD(ROW()-16,2)=0</x:formula>
    </x:cfRule>
  </x:conditionalFormatting>
  <x:conditionalFormatting sqref="D16:D18">
    <x:cfRule type="expression" dxfId="23" priority="9">
      <x:formula>MOD(ROW()-16,2)=0</x:formula>
    </x:cfRule>
  </x:conditionalFormatting>
  <x:conditionalFormatting sqref="E16:E18">
    <x:cfRule type="expression" dxfId="24" priority="10">
      <x:formula>MOD(ROW()-16,2)=0</x:formula>
    </x:cfRule>
  </x:conditionalFormatting>
  <x:conditionalFormatting sqref="F16:F18">
    <x:cfRule type="expression" dxfId="25" priority="11">
      <x:formula>MOD(ROW()-16,2)=0</x:formula>
    </x:cfRule>
  </x:conditionalFormatting>
  <x:conditionalFormatting sqref="G16:H18">
    <x:cfRule type="expression" dxfId="26" priority="12">
      <x:formula>G16&gt;0</x:formula>
    </x:cfRule>
  </x:conditionalFormatting>
  <x:conditionalFormatting sqref="A26:A28">
    <x:cfRule type="expression" dxfId="27" priority="13">
      <x:formula>MOD(ROW()-26,2)=0</x:formula>
    </x:cfRule>
  </x:conditionalFormatting>
  <x:conditionalFormatting sqref="B26:B28">
    <x:cfRule type="expression" dxfId="28" priority="14">
      <x:formula>MOD(ROW()-26,2)=0</x:formula>
    </x:cfRule>
  </x:conditionalFormatting>
  <x:conditionalFormatting sqref="C26:C28">
    <x:cfRule type="expression" dxfId="29" priority="15">
      <x:formula>MOD(ROW()-26,2)=0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a7bfd7381df34fd4"/>
    <x:tablePart xmlns:r="http://schemas.openxmlformats.org/officeDocument/2006/relationships" r:id="R7136b776ed5a4d7d"/>
    <x:tablePart xmlns:r="http://schemas.openxmlformats.org/officeDocument/2006/relationships" r:id="Rc4bd7fde66d34bb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4.4399995803833" hidden="0" customWidth="1"/>
    <x:col min="4" max="4" width="17.780000686645508" hidden="0" customWidth="1"/>
    <x:col min="5" max="5" width="17.219999313354492" hidden="0" customWidth="1"/>
    <x:col min="6" max="6" width="27.219999313354492" hidden="0" customWidth="1"/>
    <x:col min="7" max="7" width="35.560001373291016" hidden="0" customWidth="1"/>
    <x:col min="8" max="8" width="37.779998779296875" hidden="0" customWidth="1"/>
    <x:col min="9" max="9" width="20" hidden="0" customWidth="1"/>
    <x:col min="10" max="10" width="20" hidden="0" customWidth="1"/>
    <x:col min="11" max="11" width="20.559999465942383" hidden="0" customWidth="1"/>
    <x:col min="12" max="12" width="43.33000183105469" hidden="0" customWidth="1"/>
    <x:col min="14" max="14" width="41.11000061035156" hidden="0" customWidth="1"/>
  </x:cols>
  <x:sheetData>
    <x:row r="1" ht="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4" customHeight="1">
      <x:c r="A2" s="4" t="str">
        <x:v>Finance student placement detail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5" customHeight="1">
      <x:c r="A3" s="5" t="str">
        <x:v>Classes of 2024, 2025, 2026 only • One row per student • As of September 30, 2026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</x:row>
    <x:row r="4" ht="25" customHeight="1">
      <x:c r="A4" s="6" t="str">
        <x:v>Placed is based on placement status; accepted employers and recorded offers are shown separately.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60" customHeight="1">
      <x:c r="A6" s="15" t="str">
        <x:v>Class of</x:v>
      </x:c>
      <x:c r="B6" s="16" t="str">
        <x:v>NetID</x:v>
      </x:c>
      <x:c r="C6" s="16" t="str">
        <x:v>First name</x:v>
      </x:c>
      <x:c r="D6" s="16" t="str">
        <x:v>Last name</x:v>
      </x:c>
      <x:c r="E6" s="16" t="str">
        <x:v>Placement Status</x:v>
      </x:c>
      <x:c r="F6" s="29" t="str">
        <x:v>Accepted full-time Company</x:v>
      </x:c>
      <x:c r="G6" s="30" t="str">
        <x:v>Recorded internship companies</x:v>
      </x:c>
      <x:c r="H6" s="30" t="str">
        <x:v>Recorded full-time offer companies</x:v>
      </x:c>
      <x:c r="I6" s="16" t="str">
        <x:v>Internship employer offered FT</x:v>
      </x:c>
      <x:c r="J6" s="16" t="str">
        <x:v>Internship employer offer accepted</x:v>
      </x:c>
      <x:c r="K6" s="16" t="str">
        <x:v>Actual graduation semester</x:v>
      </x:c>
      <x:c r="L6" s="17" t="str">
        <x:v>Items to confirm</x:v>
      </x:c>
      <x:c r="N6" s="31" t="str">
        <x:v>Source exports</x:v>
      </x:c>
    </x:row>
    <x:row r="7" ht="28" customHeight="1">
      <x:c r="A7" s="23" t="n">
        <x:v>2024</x:v>
      </x:c>
      <x:c r="B7" s="24" t="str">
        <x:v>demo_edu2024</x:v>
      </x:c>
      <x:c r="C7" s="22" t="str">
        <x:v>Demo</x:v>
      </x:c>
      <x:c r="D7" s="25" t="str">
        <x:v>Education2024</x:v>
      </x:c>
      <x:c r="E7" s="20" t="str">
        <x:v>Not Seeking</x:v>
      </x:c>
      <x:c r="F7" s="26" t="str"/>
      <x:c r="G7" s="27" t="str"/>
      <x:c r="H7" s="20" t="str"/>
      <x:c r="I7" s="20" t="str">
        <x:v>No</x:v>
      </x:c>
      <x:c r="J7" s="20" t="str">
        <x:v>No</x:v>
      </x:c>
      <x:c r="K7" s="20" t="str">
        <x:v>Winter 2024</x:v>
      </x:c>
      <x:c r="L7" s="28" t="str"/>
      <x:c r="N7" s="32" t="str">
        <x:v>Students_2026_09_30.csv</x:v>
      </x:c>
    </x:row>
    <x:row r="8" ht="28" customHeight="1">
      <x:c r="A8" s="23" t="n">
        <x:v>2024</x:v>
      </x:c>
      <x:c r="B8" s="24" t="str">
        <x:v>demo_2024</x:v>
      </x:c>
      <x:c r="C8" s="22" t="str">
        <x:v>Demo</x:v>
      </x:c>
      <x:c r="D8" s="25" t="str">
        <x:v>Graduate2024</x:v>
      </x:c>
      <x:c r="E8" s="20" t="str">
        <x:v>Accepted Offer</x:v>
      </x:c>
      <x:c r="F8" s="26" t="str">
        <x:v>Example Alumni Employer</x:v>
      </x:c>
      <x:c r="G8" s="27" t="str">
        <x:v>Example Alumni Employer</x:v>
      </x:c>
      <x:c r="H8" s="20" t="str">
        <x:v>Example Alumni Employer</x:v>
      </x:c>
      <x:c r="I8" s="20" t="str">
        <x:v>Yes</x:v>
      </x:c>
      <x:c r="J8" s="20" t="str">
        <x:v>Yes</x:v>
      </x:c>
      <x:c r="K8" s="20" t="str">
        <x:v>Fall 2023</x:v>
      </x:c>
      <x:c r="L8" s="28" t="str"/>
      <x:c r="N8" s="32" t="str">
        <x:v>Internship_Placements_2026_09_30.csv</x:v>
      </x:c>
    </x:row>
    <x:row r="9" ht="28" customHeight="1">
      <x:c r="A9" s="23" t="n">
        <x:v>2026</x:v>
      </x:c>
      <x:c r="B9" s="24" t="str">
        <x:v>demo_2026_accept</x:v>
      </x:c>
      <x:c r="C9" s="22" t="str">
        <x:v>Demo</x:v>
      </x:c>
      <x:c r="D9" s="25" t="str">
        <x:v>Accepted2026</x:v>
      </x:c>
      <x:c r="E9" s="20" t="str">
        <x:v>Accepted Offer</x:v>
      </x:c>
      <x:c r="F9" s="26" t="str">
        <x:v>Example Different Employer</x:v>
      </x:c>
      <x:c r="G9" s="27" t="str">
        <x:v>Example Other Internship</x:v>
      </x:c>
      <x:c r="H9" s="20" t="str">
        <x:v>Example Different Employer</x:v>
      </x:c>
      <x:c r="I9" s="20" t="str">
        <x:v>No</x:v>
      </x:c>
      <x:c r="J9" s="20" t="str">
        <x:v>No</x:v>
      </x:c>
      <x:c r="K9" s="20" t="str">
        <x:v>Spring 2026</x:v>
      </x:c>
      <x:c r="L9" s="28" t="str"/>
      <x:c r="N9" s="32" t="str">
        <x:v>Full_Time_Placements_2026_09_30.csv</x:v>
      </x:c>
    </x:row>
    <x:row r="10" ht="38" customHeight="1">
      <x:c r="A10" s="23" t="n">
        <x:v>2026</x:v>
      </x:c>
      <x:c r="B10" s="24" t="str">
        <x:v>demo_2026_missing</x:v>
      </x:c>
      <x:c r="C10" s="22" t="str">
        <x:v>Demo</x:v>
      </x:c>
      <x:c r="D10" s="25" t="str">
        <x:v>NoEmployer2026</x:v>
      </x:c>
      <x:c r="E10" s="20" t="str">
        <x:v>Accepted Offer</x:v>
      </x:c>
      <x:c r="F10" s="26" t="str"/>
      <x:c r="G10" s="27" t="str"/>
      <x:c r="H10" s="20" t="str"/>
      <x:c r="I10" s="20" t="str">
        <x:v>No</x:v>
      </x:c>
      <x:c r="J10" s="20" t="str">
        <x:v>No</x:v>
      </x:c>
      <x:c r="K10" s="20" t="str"/>
      <x:c r="L10" s="28" t="str">
        <x:v>Accepted employer needs confirmation; Actual graduation unreported</x:v>
      </x:c>
      <x:c r="N10" s="32"/>
    </x:row>
    <x:row r="11" ht="28" customHeight="1">
      <x:c r="A11" s="23" t="n">
        <x:v>2026</x:v>
      </x:c>
      <x:c r="B11" s="24" t="str">
        <x:v>demo_2026_seek</x:v>
      </x:c>
      <x:c r="C11" s="22" t="str">
        <x:v>Demo</x:v>
      </x:c>
      <x:c r="D11" s="25" t="str">
        <x:v>Seeking2026</x:v>
      </x:c>
      <x:c r="E11" s="20" t="str">
        <x:v>Actively Seeking</x:v>
      </x:c>
      <x:c r="F11" s="26" t="str"/>
      <x:c r="G11" s="27" t="str">
        <x:v>Example Declined Employer</x:v>
      </x:c>
      <x:c r="H11" s="20" t="str">
        <x:v>Example Declined Employer</x:v>
      </x:c>
      <x:c r="I11" s="20" t="str">
        <x:v>Yes</x:v>
      </x:c>
      <x:c r="J11" s="20" t="str">
        <x:v>No</x:v>
      </x:c>
      <x:c r="K11" s="20" t="str">
        <x:v>Winter 2026</x:v>
      </x:c>
      <x:c r="L11" s="28" t="str"/>
      <x:c r="N11" s="32" t="str">
        <x:v>Joined by Student Record Id; never by name.</x:v>
      </x:c>
    </x:row>
  </x:sheetData>
  <x:conditionalFormatting sqref="A7:A11">
    <x:cfRule type="expression" dxfId="0" priority="1">
      <x:formula>MOD(ROW()-7,2)=0</x:formula>
    </x:cfRule>
  </x:conditionalFormatting>
  <x:conditionalFormatting sqref="B7:B11">
    <x:cfRule type="expression" dxfId="1" priority="2">
      <x:formula>MOD(ROW()-7,2)=0</x:formula>
    </x:cfRule>
  </x:conditionalFormatting>
  <x:conditionalFormatting sqref="C7:C11">
    <x:cfRule type="expression" dxfId="2" priority="3">
      <x:formula>MOD(ROW()-7,2)=0</x:formula>
    </x:cfRule>
  </x:conditionalFormatting>
  <x:conditionalFormatting sqref="D7:D11">
    <x:cfRule type="expression" dxfId="3" priority="4">
      <x:formula>MOD(ROW()-7,2)=0</x:formula>
    </x:cfRule>
  </x:conditionalFormatting>
  <x:conditionalFormatting sqref="F7:F11">
    <x:cfRule type="expression" dxfId="4" priority="5">
      <x:formula>MOD(ROW()-7,2)=0</x:formula>
    </x:cfRule>
  </x:conditionalFormatting>
  <x:conditionalFormatting sqref="G7:G11">
    <x:cfRule type="expression" dxfId="5" priority="6">
      <x:formula>MOD(ROW()-7,2)=0</x:formula>
    </x:cfRule>
  </x:conditionalFormatting>
  <x:conditionalFormatting sqref="H7:H11">
    <x:cfRule type="expression" dxfId="6" priority="7">
      <x:formula>MOD(ROW()-7,2)=0</x:formula>
    </x:cfRule>
  </x:conditionalFormatting>
  <x:conditionalFormatting sqref="L7:L11">
    <x:cfRule type="expression" dxfId="7" priority="8">
      <x:formula>MOD(ROW()-7,2)=0</x:formula>
    </x:cfRule>
  </x:conditionalFormatting>
  <x:conditionalFormatting sqref="E7:E11">
    <x:cfRule type="expression" dxfId="8" priority="9">
      <x:formula>$E7="Accepted Offer"</x:formula>
    </x:cfRule>
    <x:cfRule type="expression" dxfId="9" priority="10">
      <x:formula>$E7="Actively Seeking"</x:formula>
    </x:cfRule>
    <x:cfRule type="expression" dxfId="10" priority="11">
      <x:formula>$E7="Not Seeking"</x:formula>
    </x:cfRule>
    <x:cfRule type="expression" dxfId="11" priority="12">
      <x:formula>$E7="no status"</x:formula>
    </x:cfRule>
  </x:conditionalFormatting>
  <x:conditionalFormatting sqref="I7:I11">
    <x:cfRule type="expression" dxfId="12" priority="13">
      <x:formula>$I7="Yes"</x:formula>
    </x:cfRule>
  </x:conditionalFormatting>
  <x:conditionalFormatting sqref="J7:J11">
    <x:cfRule type="expression" dxfId="13" priority="14">
      <x:formula>$J7="Yes"</x:formula>
    </x:cfRule>
  </x:conditionalFormatting>
  <x:conditionalFormatting sqref="K7:K11">
    <x:cfRule type="expression" dxfId="14" priority="15">
      <x:formula>$K7=""</x:formula>
    </x:cfRule>
  </x:conditionalFormatting>
  <x:dataValidations count="1">
    <x:dataValidation type="list" sqref="E7:E11">
      <x:formula1>"Actively Seeking,Not Seeking,Accepted Offer,no status"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984b5a7d0e4127"/>
  </x:tableParts>
</x:worksheet>
</file>